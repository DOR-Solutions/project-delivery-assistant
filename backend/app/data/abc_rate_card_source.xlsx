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Zakaria\Downloads\"/>
    </mc:Choice>
  </mc:AlternateContent>
  <xr:revisionPtr revIDLastSave="0" documentId="13_ncr:1_{42A09E78-83D7-440F-A6F2-9BDD3036A17D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6% " sheetId="26" r:id="rId1"/>
    <sheet name="2025 - Rate Card" sheetId="24" r:id="rId2"/>
    <sheet name="P-Rate" sheetId="2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4" l="1"/>
  <c r="N7" i="24"/>
  <c r="M17" i="24"/>
  <c r="M16" i="24"/>
  <c r="M14" i="24"/>
  <c r="M13" i="24"/>
  <c r="M11" i="24"/>
  <c r="M10" i="24"/>
  <c r="M8" i="24"/>
  <c r="M7" i="24"/>
  <c r="N6" i="24"/>
  <c r="G14" i="25"/>
  <c r="G12" i="25"/>
  <c r="G10" i="25"/>
  <c r="G8" i="25"/>
  <c r="CY11" i="26"/>
  <c r="CY9" i="26"/>
  <c r="CY7" i="26"/>
  <c r="CY5" i="26"/>
  <c r="CU11" i="26"/>
  <c r="CU9" i="26"/>
  <c r="CU7" i="26"/>
  <c r="CU5" i="26"/>
  <c r="CQ5" i="26"/>
  <c r="CS5" i="26"/>
  <c r="CQ4" i="26"/>
  <c r="G17" i="24"/>
  <c r="G16" i="24"/>
  <c r="G14" i="24"/>
  <c r="G13" i="24"/>
  <c r="G11" i="24"/>
  <c r="G10" i="24"/>
  <c r="G8" i="24"/>
  <c r="G7" i="24"/>
  <c r="BC19" i="26"/>
  <c r="BD19" i="26"/>
  <c r="BD16" i="26"/>
  <c r="BH9" i="26"/>
  <c r="BH12" i="26"/>
  <c r="BH10" i="26"/>
  <c r="AQ10" i="26"/>
  <c r="AQ9" i="26"/>
  <c r="AQ11" i="26" s="1"/>
  <c r="BK24" i="26"/>
  <c r="BQ58" i="26" s="1"/>
  <c r="CQ6" i="26"/>
  <c r="CS6" i="26" s="1"/>
  <c r="CQ7" i="26"/>
  <c r="CS7" i="26" s="1"/>
  <c r="CQ8" i="26"/>
  <c r="CS8" i="26" s="1"/>
  <c r="CQ9" i="26"/>
  <c r="CS9" i="26" s="1"/>
  <c r="CQ10" i="26"/>
  <c r="CS10" i="26" s="1"/>
  <c r="BK10" i="26" s="1"/>
  <c r="CQ11" i="26"/>
  <c r="CS11" i="26" s="1"/>
  <c r="BK9" i="26" s="1"/>
  <c r="BQ10" i="26" s="1"/>
  <c r="CS4" i="26"/>
  <c r="BK25" i="26" s="1"/>
  <c r="BQ59" i="26" s="1"/>
  <c r="AN37" i="26"/>
  <c r="AO37" i="26" s="1"/>
  <c r="AN36" i="26"/>
  <c r="AO36" i="26" s="1"/>
  <c r="AN35" i="26"/>
  <c r="AO35" i="26" s="1"/>
  <c r="AN34" i="26"/>
  <c r="AO34" i="26" s="1"/>
  <c r="AN32" i="26"/>
  <c r="AO32" i="26" s="1"/>
  <c r="CI29" i="26"/>
  <c r="CB25" i="26"/>
  <c r="AX25" i="26"/>
  <c r="AY25" i="26" s="1"/>
  <c r="AN25" i="26"/>
  <c r="AO25" i="26" s="1"/>
  <c r="CP24" i="26"/>
  <c r="CQ24" i="26" s="1"/>
  <c r="CB24" i="26"/>
  <c r="AX24" i="26"/>
  <c r="AY24" i="26" s="1"/>
  <c r="AN24" i="26"/>
  <c r="AO24" i="26" s="1"/>
  <c r="F24" i="26"/>
  <c r="G24" i="26" s="1"/>
  <c r="CP22" i="26"/>
  <c r="CQ22" i="26" s="1"/>
  <c r="CB22" i="26"/>
  <c r="AX22" i="26"/>
  <c r="AY22" i="26" s="1"/>
  <c r="F22" i="26"/>
  <c r="G22" i="26" s="1"/>
  <c r="CP21" i="26"/>
  <c r="CQ21" i="26" s="1"/>
  <c r="CB21" i="26"/>
  <c r="AX21" i="26"/>
  <c r="AY21" i="26" s="1"/>
  <c r="F21" i="26"/>
  <c r="G21" i="26" s="1"/>
  <c r="CP20" i="26"/>
  <c r="CQ20" i="26" s="1"/>
  <c r="CP19" i="26"/>
  <c r="CQ19" i="26" s="1"/>
  <c r="CB19" i="26"/>
  <c r="AX19" i="26"/>
  <c r="AY19" i="26" s="1"/>
  <c r="F19" i="26"/>
  <c r="G19" i="26" s="1"/>
  <c r="CS18" i="26"/>
  <c r="CP18" i="26"/>
  <c r="CB18" i="26"/>
  <c r="AX18" i="26"/>
  <c r="AY18" i="26" s="1"/>
  <c r="F18" i="26"/>
  <c r="G18" i="26" s="1"/>
  <c r="CP17" i="26"/>
  <c r="CQ17" i="26" s="1"/>
  <c r="CB16" i="26"/>
  <c r="AX16" i="26"/>
  <c r="AY16" i="26" s="1"/>
  <c r="F16" i="26"/>
  <c r="G16" i="26" s="1"/>
  <c r="CB15" i="26"/>
  <c r="AX15" i="26"/>
  <c r="AY15" i="26" s="1"/>
  <c r="F15" i="26"/>
  <c r="G15" i="26" s="1"/>
  <c r="CB13" i="26"/>
  <c r="AX13" i="26"/>
  <c r="AY13" i="26" s="1"/>
  <c r="F13" i="26"/>
  <c r="G13" i="26" s="1"/>
  <c r="CB12" i="26"/>
  <c r="AX12" i="26"/>
  <c r="AY12" i="26" s="1"/>
  <c r="F12" i="26"/>
  <c r="G12" i="26" s="1"/>
  <c r="CB10" i="26"/>
  <c r="AX10" i="26"/>
  <c r="AY10" i="26" s="1"/>
  <c r="F10" i="26"/>
  <c r="G10" i="26" s="1"/>
  <c r="CB9" i="26"/>
  <c r="AX9" i="26"/>
  <c r="AY9" i="26" s="1"/>
  <c r="F9" i="26"/>
  <c r="G9" i="26" s="1"/>
  <c r="BQ11" i="26" l="1"/>
  <c r="BQ12" i="26" s="1"/>
  <c r="BQ60" i="26"/>
  <c r="BK15" i="26"/>
  <c r="BQ27" i="26" s="1"/>
  <c r="BK12" i="26"/>
  <c r="BQ18" i="26" s="1"/>
  <c r="BK16" i="26"/>
  <c r="BQ28" i="26" s="1"/>
  <c r="BK13" i="26"/>
  <c r="BQ19" i="26" s="1"/>
  <c r="BK21" i="26"/>
  <c r="BQ47" i="26" s="1"/>
  <c r="BK18" i="26"/>
  <c r="BQ37" i="26" s="1"/>
  <c r="BK22" i="26"/>
  <c r="BK19" i="26"/>
  <c r="H9" i="26"/>
  <c r="AZ9" i="26"/>
  <c r="BC9" i="26" s="1"/>
  <c r="BD9" i="26" s="1"/>
  <c r="BE9" i="26" s="1"/>
  <c r="BI9" i="26" s="1"/>
  <c r="H10" i="26"/>
  <c r="K10" i="26" s="1"/>
  <c r="L10" i="26" s="1"/>
  <c r="M10" i="26" s="1"/>
  <c r="P10" i="26" s="1"/>
  <c r="AZ10" i="26"/>
  <c r="BC10" i="26" s="1"/>
  <c r="BD10" i="26" s="1"/>
  <c r="BE10" i="26" s="1"/>
  <c r="BX9" i="26" s="1"/>
  <c r="H12" i="26"/>
  <c r="K12" i="26" s="1"/>
  <c r="L12" i="26" s="1"/>
  <c r="M12" i="26" s="1"/>
  <c r="P12" i="26" s="1"/>
  <c r="AZ12" i="26"/>
  <c r="BC12" i="26" s="1"/>
  <c r="BD12" i="26" s="1"/>
  <c r="BE12" i="26" s="1"/>
  <c r="BS19" i="26" s="1"/>
  <c r="BS20" i="26" s="1"/>
  <c r="H13" i="26"/>
  <c r="K13" i="26" s="1"/>
  <c r="L13" i="26" s="1"/>
  <c r="M13" i="26" s="1"/>
  <c r="P13" i="26" s="1"/>
  <c r="AZ13" i="26"/>
  <c r="BC13" i="26" s="1"/>
  <c r="BD13" i="26" s="1"/>
  <c r="BE13" i="26" s="1"/>
  <c r="BH13" i="26" s="1"/>
  <c r="H15" i="26"/>
  <c r="K15" i="26" s="1"/>
  <c r="L15" i="26" s="1"/>
  <c r="M15" i="26" s="1"/>
  <c r="P15" i="26" s="1"/>
  <c r="Q15" i="26" s="1"/>
  <c r="AZ15" i="26"/>
  <c r="BC15" i="26" s="1"/>
  <c r="BD15" i="26" s="1"/>
  <c r="BE15" i="26" s="1"/>
  <c r="BH15" i="26" s="1"/>
  <c r="BS28" i="26" s="1"/>
  <c r="BS29" i="26" s="1"/>
  <c r="H16" i="26"/>
  <c r="K16" i="26" s="1"/>
  <c r="L16" i="26" s="1"/>
  <c r="M16" i="26" s="1"/>
  <c r="P16" i="26" s="1"/>
  <c r="AZ16" i="26"/>
  <c r="BC16" i="26" s="1"/>
  <c r="BE16" i="26" s="1"/>
  <c r="BH16" i="26" s="1"/>
  <c r="CU18" i="26"/>
  <c r="CS17" i="26"/>
  <c r="H18" i="26"/>
  <c r="K18" i="26" s="1"/>
  <c r="L18" i="26" s="1"/>
  <c r="M18" i="26" s="1"/>
  <c r="P18" i="26" s="1"/>
  <c r="AZ18" i="26"/>
  <c r="BC18" i="26" s="1"/>
  <c r="BD18" i="26" s="1"/>
  <c r="BE18" i="26" s="1"/>
  <c r="BH18" i="26" s="1"/>
  <c r="BS38" i="26" s="1"/>
  <c r="BS39" i="26" s="1"/>
  <c r="H19" i="26"/>
  <c r="K19" i="26" s="1"/>
  <c r="L19" i="26" s="1"/>
  <c r="M19" i="26" s="1"/>
  <c r="P19" i="26" s="1"/>
  <c r="AZ19" i="26"/>
  <c r="BE19" i="26" s="1"/>
  <c r="BH19" i="26" s="1"/>
  <c r="CV19" i="26"/>
  <c r="CU19" i="26"/>
  <c r="CS19" i="26"/>
  <c r="CU20" i="26"/>
  <c r="CS20" i="26"/>
  <c r="H21" i="26"/>
  <c r="K21" i="26" s="1"/>
  <c r="L21" i="26" s="1"/>
  <c r="M21" i="26" s="1"/>
  <c r="P21" i="26" s="1"/>
  <c r="AZ21" i="26"/>
  <c r="BC21" i="26" s="1"/>
  <c r="BD21" i="26" s="1"/>
  <c r="BE21" i="26" s="1"/>
  <c r="BH21" i="26" s="1"/>
  <c r="BS48" i="26" s="1"/>
  <c r="BS49" i="26" s="1"/>
  <c r="CV21" i="26"/>
  <c r="CU21" i="26"/>
  <c r="CS21" i="26"/>
  <c r="H22" i="26"/>
  <c r="K22" i="26" s="1"/>
  <c r="L22" i="26" s="1"/>
  <c r="M22" i="26" s="1"/>
  <c r="P22" i="26" s="1"/>
  <c r="AZ22" i="26"/>
  <c r="BC22" i="26" s="1"/>
  <c r="BD22" i="26" s="1"/>
  <c r="BE22" i="26" s="1"/>
  <c r="BH22" i="26" s="1"/>
  <c r="CV22" i="26"/>
  <c r="CU22" i="26"/>
  <c r="CS22" i="26"/>
  <c r="H24" i="26"/>
  <c r="K24" i="26" s="1"/>
  <c r="L24" i="26" s="1"/>
  <c r="M24" i="26" s="1"/>
  <c r="P24" i="26" s="1"/>
  <c r="AZ24" i="26"/>
  <c r="BC24" i="26" s="1"/>
  <c r="BD24" i="26" s="1"/>
  <c r="BE24" i="26" s="1"/>
  <c r="BH24" i="26" s="1"/>
  <c r="BS59" i="26" s="1"/>
  <c r="BS60" i="26" s="1"/>
  <c r="BS61" i="26" s="1"/>
  <c r="CV24" i="26"/>
  <c r="CU24" i="26"/>
  <c r="CS24" i="26"/>
  <c r="AZ25" i="26"/>
  <c r="BC25" i="26" s="1"/>
  <c r="BD25" i="26" s="1"/>
  <c r="BE25" i="26" s="1"/>
  <c r="BH25" i="26" s="1"/>
  <c r="BS63" i="26" l="1"/>
  <c r="BU24" i="26"/>
  <c r="BQ48" i="26"/>
  <c r="BQ38" i="26"/>
  <c r="BQ39" i="26"/>
  <c r="BQ49" i="26"/>
  <c r="BQ20" i="26"/>
  <c r="BQ29" i="26"/>
  <c r="BN9" i="26"/>
  <c r="BS11" i="26"/>
  <c r="BS12" i="26" s="1"/>
  <c r="BS13" i="26" s="1"/>
  <c r="BX10" i="26"/>
  <c r="BX13" i="26"/>
  <c r="BX12" i="26"/>
  <c r="V10" i="26"/>
  <c r="AS10" i="26"/>
  <c r="AS11" i="26" s="1"/>
  <c r="AS12" i="26" s="1"/>
  <c r="AS14" i="26" s="1"/>
  <c r="K9" i="26"/>
  <c r="L9" i="26" s="1"/>
  <c r="M9" i="26" s="1"/>
  <c r="P9" i="26" s="1"/>
  <c r="V9" i="26" s="1"/>
  <c r="BX25" i="26"/>
  <c r="BN25" i="26"/>
  <c r="BM25" i="26"/>
  <c r="BI25" i="26"/>
  <c r="BJ25" i="26" s="1"/>
  <c r="BX24" i="26"/>
  <c r="BN24" i="26"/>
  <c r="CJ24" i="26" s="1"/>
  <c r="BM24" i="26"/>
  <c r="BI24" i="26"/>
  <c r="BJ24" i="26" s="1"/>
  <c r="BR59" i="26" s="1"/>
  <c r="BR60" i="26" s="1"/>
  <c r="BR61" i="26" s="1"/>
  <c r="V24" i="26"/>
  <c r="Y24" i="26" s="1"/>
  <c r="Q24" i="26"/>
  <c r="R24" i="26" s="1"/>
  <c r="CW22" i="26"/>
  <c r="BX22" i="26"/>
  <c r="BN22" i="26"/>
  <c r="BM22" i="26"/>
  <c r="BI22" i="26"/>
  <c r="BJ22" i="26" s="1"/>
  <c r="V22" i="26"/>
  <c r="Q22" i="26"/>
  <c r="R22" i="26" s="1"/>
  <c r="BX21" i="26"/>
  <c r="BN21" i="26"/>
  <c r="BM21" i="26"/>
  <c r="BI21" i="26"/>
  <c r="BJ21" i="26" s="1"/>
  <c r="BR48" i="26" s="1"/>
  <c r="BR49" i="26" s="1"/>
  <c r="V21" i="26"/>
  <c r="Q21" i="26"/>
  <c r="R21" i="26" s="1"/>
  <c r="BX19" i="26"/>
  <c r="BN19" i="26"/>
  <c r="BM19" i="26"/>
  <c r="BI19" i="26"/>
  <c r="BJ19" i="26" s="1"/>
  <c r="V19" i="26"/>
  <c r="Q19" i="26"/>
  <c r="R19" i="26" s="1"/>
  <c r="BX18" i="26"/>
  <c r="BN18" i="26"/>
  <c r="BM18" i="26"/>
  <c r="BI18" i="26"/>
  <c r="BJ18" i="26" s="1"/>
  <c r="BR38" i="26" s="1"/>
  <c r="BR39" i="26" s="1"/>
  <c r="V18" i="26"/>
  <c r="Q18" i="26"/>
  <c r="R18" i="26" s="1"/>
  <c r="BX16" i="26"/>
  <c r="BN16" i="26"/>
  <c r="BM16" i="26"/>
  <c r="BI16" i="26"/>
  <c r="BJ16" i="26" s="1"/>
  <c r="V16" i="26"/>
  <c r="Q16" i="26"/>
  <c r="R16" i="26" s="1"/>
  <c r="BX15" i="26"/>
  <c r="BN15" i="26"/>
  <c r="BM15" i="26"/>
  <c r="BI15" i="26"/>
  <c r="BJ15" i="26" s="1"/>
  <c r="BR28" i="26" s="1"/>
  <c r="BR29" i="26" s="1"/>
  <c r="V15" i="26"/>
  <c r="R15" i="26"/>
  <c r="BN13" i="26"/>
  <c r="BM13" i="26"/>
  <c r="BI13" i="26"/>
  <c r="BJ13" i="26" s="1"/>
  <c r="BY13" i="26" s="1"/>
  <c r="V13" i="26"/>
  <c r="Q13" i="26"/>
  <c r="R13" i="26" s="1"/>
  <c r="BN12" i="26"/>
  <c r="BM12" i="26"/>
  <c r="BI12" i="26"/>
  <c r="BJ12" i="26" s="1"/>
  <c r="V12" i="26"/>
  <c r="Q12" i="26"/>
  <c r="R12" i="26" s="1"/>
  <c r="BN10" i="26"/>
  <c r="BM10" i="26"/>
  <c r="BI10" i="26"/>
  <c r="BJ10" i="26" s="1"/>
  <c r="Q10" i="26"/>
  <c r="R10" i="26" s="1"/>
  <c r="BM9" i="26"/>
  <c r="BJ9" i="26"/>
  <c r="Q9" i="26"/>
  <c r="R9" i="26" s="1"/>
  <c r="T9" i="26" s="1"/>
  <c r="U9" i="26" s="1"/>
  <c r="BR63" i="26" l="1"/>
  <c r="BV24" i="26"/>
  <c r="BS15" i="26"/>
  <c r="BU9" i="26"/>
  <c r="CJ9" i="26" s="1"/>
  <c r="BR11" i="26"/>
  <c r="BR12" i="26" s="1"/>
  <c r="BR13" i="26" s="1"/>
  <c r="BV9" i="26" s="1"/>
  <c r="BY12" i="26"/>
  <c r="BR19" i="26"/>
  <c r="BR20" i="26" s="1"/>
  <c r="BS30" i="26"/>
  <c r="BR30" i="26"/>
  <c r="BS21" i="26"/>
  <c r="BR21" i="26"/>
  <c r="BS50" i="26"/>
  <c r="BR50" i="26"/>
  <c r="BS40" i="26"/>
  <c r="BR40" i="26"/>
  <c r="BY9" i="26"/>
  <c r="BY10" i="26"/>
  <c r="AR10" i="26"/>
  <c r="AR11" i="26" s="1"/>
  <c r="AR12" i="26" s="1"/>
  <c r="AR14" i="26" s="1"/>
  <c r="W10" i="26"/>
  <c r="W9" i="26"/>
  <c r="BO9" i="26"/>
  <c r="BL9" i="26"/>
  <c r="T10" i="26"/>
  <c r="U10" i="26" s="1"/>
  <c r="Y9" i="26"/>
  <c r="BO10" i="26"/>
  <c r="BL10" i="26"/>
  <c r="W12" i="26"/>
  <c r="T12" i="26"/>
  <c r="U12" i="26" s="1"/>
  <c r="BO12" i="26"/>
  <c r="BL12" i="26"/>
  <c r="W13" i="26"/>
  <c r="X12" i="26" s="1"/>
  <c r="T13" i="26"/>
  <c r="U13" i="26" s="1"/>
  <c r="Y12" i="26"/>
  <c r="BO13" i="26"/>
  <c r="BL13" i="26"/>
  <c r="W15" i="26"/>
  <c r="T15" i="26"/>
  <c r="U15" i="26" s="1"/>
  <c r="BY15" i="26"/>
  <c r="BO15" i="26"/>
  <c r="BL15" i="26"/>
  <c r="W16" i="26"/>
  <c r="X15" i="26" s="1"/>
  <c r="T16" i="26"/>
  <c r="U16" i="26" s="1"/>
  <c r="Y15" i="26"/>
  <c r="BY16" i="26"/>
  <c r="BO16" i="26"/>
  <c r="BL16" i="26"/>
  <c r="W18" i="26"/>
  <c r="T18" i="26"/>
  <c r="U18" i="26" s="1"/>
  <c r="BY18" i="26"/>
  <c r="BO18" i="26"/>
  <c r="BL18" i="26"/>
  <c r="W19" i="26"/>
  <c r="X18" i="26" s="1"/>
  <c r="T19" i="26"/>
  <c r="U19" i="26" s="1"/>
  <c r="Y18" i="26"/>
  <c r="BY19" i="26"/>
  <c r="BO19" i="26"/>
  <c r="BL19" i="26"/>
  <c r="W21" i="26"/>
  <c r="T21" i="26"/>
  <c r="U21" i="26" s="1"/>
  <c r="BY21" i="26"/>
  <c r="BO21" i="26"/>
  <c r="BL21" i="26"/>
  <c r="W22" i="26"/>
  <c r="X21" i="26" s="1"/>
  <c r="T22" i="26"/>
  <c r="U22" i="26" s="1"/>
  <c r="Y21" i="26"/>
  <c r="BY22" i="26"/>
  <c r="BO22" i="26"/>
  <c r="BL22" i="26"/>
  <c r="W24" i="26"/>
  <c r="X24" i="26" s="1"/>
  <c r="T24" i="26"/>
  <c r="U24" i="26" s="1"/>
  <c r="BY24" i="26"/>
  <c r="BO24" i="26"/>
  <c r="BL24" i="26"/>
  <c r="BY25" i="26"/>
  <c r="BO25" i="26"/>
  <c r="BL25" i="26"/>
  <c r="BR42" i="26" l="1"/>
  <c r="BV18" i="26"/>
  <c r="BS42" i="26"/>
  <c r="BU18" i="26"/>
  <c r="CJ18" i="26" s="1"/>
  <c r="BR52" i="26"/>
  <c r="BV21" i="26"/>
  <c r="BS52" i="26"/>
  <c r="BU21" i="26"/>
  <c r="CJ21" i="26" s="1"/>
  <c r="BR23" i="26"/>
  <c r="BV12" i="26"/>
  <c r="CK12" i="26" s="1"/>
  <c r="BS23" i="26"/>
  <c r="BU12" i="26"/>
  <c r="CJ12" i="26" s="1"/>
  <c r="BR32" i="26"/>
  <c r="BV15" i="26"/>
  <c r="BS32" i="26"/>
  <c r="BU15" i="26"/>
  <c r="CJ15" i="26" s="1"/>
  <c r="BR15" i="26"/>
  <c r="CK9" i="26"/>
  <c r="X9" i="26"/>
  <c r="CK24" i="26"/>
  <c r="CK21" i="26"/>
  <c r="CK18" i="26"/>
  <c r="CK15" i="26"/>
  <c r="CK29" i="26"/>
  <c r="CJ29" i="2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<sst xmlns="http://schemas.openxmlformats.org/spreadsheetml/2006/main" count="219" uniqueCount="96">
  <si>
    <t>Rate Increase at 6% with 5% Pay rate increment to staff</t>
  </si>
  <si>
    <t>Rate in 2024 Rate card</t>
  </si>
  <si>
    <t>Total cost</t>
  </si>
  <si>
    <t>ML Night</t>
  </si>
  <si>
    <t xml:space="preserve">New Rates (Day &amp; Night) </t>
  </si>
  <si>
    <t>ML Day</t>
  </si>
  <si>
    <t>TL Night</t>
  </si>
  <si>
    <t>Skill</t>
  </si>
  <si>
    <t xml:space="preserve">Hourly FE pay rate </t>
  </si>
  <si>
    <t>Description I.e. PAYE ,Umbrella, Self Employed</t>
  </si>
  <si>
    <t xml:space="preserve">Holiday Pay WTR </t>
  </si>
  <si>
    <t>Holiday Pay WTR</t>
  </si>
  <si>
    <t>Total</t>
  </si>
  <si>
    <t>NIC</t>
  </si>
  <si>
    <t>NIC Threshold Allowed</t>
  </si>
  <si>
    <t>NIC Liable Pay</t>
  </si>
  <si>
    <t>Total labour cost</t>
  </si>
  <si>
    <t xml:space="preserve">Pension </t>
  </si>
  <si>
    <t>Apprentice Levy</t>
  </si>
  <si>
    <t>Total Labour Cost inc Pension</t>
  </si>
  <si>
    <t xml:space="preserve">OH </t>
  </si>
  <si>
    <t>Total with OH</t>
  </si>
  <si>
    <t>Charge Out</t>
  </si>
  <si>
    <t>Margins/Hour OH</t>
  </si>
  <si>
    <t>Margins/Hour OH / After OH</t>
  </si>
  <si>
    <t>Margins/Hour OH / Before OH</t>
  </si>
  <si>
    <t>PM's</t>
  </si>
  <si>
    <t>Average of profit per day on 16 hours shift</t>
  </si>
  <si>
    <t>PM - Gross B/OH</t>
  </si>
  <si>
    <t>PM - Gross A/OH</t>
  </si>
  <si>
    <t>Time &amp; Half Element</t>
  </si>
  <si>
    <t>Shifts Per day</t>
  </si>
  <si>
    <t>Profit B O/H</t>
  </si>
  <si>
    <t>Profit A O/H</t>
  </si>
  <si>
    <t>TL Day</t>
  </si>
  <si>
    <t>ABC</t>
  </si>
  <si>
    <t>B/OH</t>
  </si>
  <si>
    <t>A/OH</t>
  </si>
  <si>
    <t>W/OH</t>
  </si>
  <si>
    <t>WO/OH</t>
  </si>
  <si>
    <t>Op's</t>
  </si>
  <si>
    <t>Driver Night</t>
  </si>
  <si>
    <t>Operative</t>
  </si>
  <si>
    <t>Paye</t>
  </si>
  <si>
    <t>Driver Day</t>
  </si>
  <si>
    <t>Ops Night</t>
  </si>
  <si>
    <t>Ops Day</t>
  </si>
  <si>
    <t>Driver</t>
  </si>
  <si>
    <t>Driver 1</t>
  </si>
  <si>
    <t>5% pay rate increment to staff across all skill-levels</t>
  </si>
  <si>
    <t>Driver 2</t>
  </si>
  <si>
    <t>Dri 1</t>
  </si>
  <si>
    <t>Current PR</t>
  </si>
  <si>
    <t>Increment</t>
  </si>
  <si>
    <t>New PR</t>
  </si>
  <si>
    <t>Hours PY</t>
  </si>
  <si>
    <t>Base Annual Salary</t>
  </si>
  <si>
    <t>Diffrence within Skill-levels</t>
  </si>
  <si>
    <t>TL</t>
  </si>
  <si>
    <t>TL 1</t>
  </si>
  <si>
    <t>Dri 2</t>
  </si>
  <si>
    <t>TL 2</t>
  </si>
  <si>
    <t>ML</t>
  </si>
  <si>
    <t>Role</t>
  </si>
  <si>
    <t xml:space="preserve"> Rates</t>
  </si>
  <si>
    <t>Skill / Training</t>
  </si>
  <si>
    <t>Operative (Day Rate - 08:00-20:00)</t>
  </si>
  <si>
    <t xml:space="preserve">MH / Fire / AAA / H&amp;S / Airside Safety / DG / Pan Terminal Exposure/ Green CSCS </t>
  </si>
  <si>
    <t>Driver (Day Rate - 08:00-20:00)</t>
  </si>
  <si>
    <t>MH / Fire / AAA / H&amp;S / Airside Safety / DG / Pan Terminal Exposure/ Green CSCS / Active ADP / Vehicle Authorised Signatory / Multi Vehicle - Equipement Trained</t>
  </si>
  <si>
    <t>Driver (Night Rate - 20:00-08:00)</t>
  </si>
  <si>
    <t>Team Leader (Day Rate - 08:00-20:00)</t>
  </si>
  <si>
    <t>MH / Fire / AAA / H&amp;S / Airside Safety / DG / Pan Terminal Exposure/ Green CSCS / Active ADP / Vehicle Authorised Signatory / Multi Vehicle - Equipement Trained / Incident Report writing -Evidence gathering / Managing teams</t>
  </si>
  <si>
    <t>Mobilisation Lead (Day Rate - 08:00-20:00)</t>
  </si>
  <si>
    <t>MH / Fire / AAA / H&amp;S / Airside Safety / DG / Pan Terminal Exposure/ Green CSCS / Active ADP / Vehicle Authorised Signatory / Multi Vehicle - Equipement Trained / Incident Report writing -Evidence gathering / Managing teams / EBOSH / First-Aiders</t>
  </si>
  <si>
    <t>Luton Van</t>
  </si>
  <si>
    <t>Minibus</t>
  </si>
  <si>
    <t>EBT</t>
  </si>
  <si>
    <t>Wessex Trailer</t>
  </si>
  <si>
    <t>Radios</t>
  </si>
  <si>
    <t>Geest Truck</t>
  </si>
  <si>
    <t>Rate Card - 1st May 2025</t>
  </si>
  <si>
    <t>Time &amp; Half Rate</t>
  </si>
  <si>
    <t>Operative                                                  (Day Rate - 08:00-20:00)</t>
  </si>
  <si>
    <t>Operative                                                 (Night Rate - 20:00-08:00)</t>
  </si>
  <si>
    <t>Team Leader                                              (Day Rate - 08:00-20:00)</t>
  </si>
  <si>
    <t>Team Leader                                           (Night Rate - 20:00-08:00)</t>
  </si>
  <si>
    <t>Mobilisation Lead                                         (Day Rate - 08:00-20:00)</t>
  </si>
  <si>
    <t>Mobilisation Lead                                    (Night Rate - 08:00-20:00)</t>
  </si>
  <si>
    <t>Rate Card - 1st March 2025</t>
  </si>
  <si>
    <t>P-Rate - Day only</t>
  </si>
  <si>
    <t>P-Rate - Day Rate -0.50P</t>
  </si>
  <si>
    <t xml:space="preserve">MH / Fire / AAA / H&amp;S / Airside Safety / DG / Pan Terminal Exposure </t>
  </si>
  <si>
    <t>MH / Fire / AAA / H&amp;S / Airside Safety / DG / Pan Terminal Exposure/ Active ADP / Vehicle Authorised Signatory / Multi Vehicle - Equipement Trained</t>
  </si>
  <si>
    <t>MH / Fire / AAA / H&amp;S / Airside Safety / DG / Pan Terminal Exposure/ Active ADP / Vehicle Authorised Signatory / Multi Vehicle - Equipement Trained / Incident Report writing -Evidence gathering / Managing teams</t>
  </si>
  <si>
    <t>MH / Fire / AAA / H&amp;S / Airside Safety / DG / Pan Terminal Exposure/ Active ADP / Vehicle Authorised Signatory / Multi Vehicle - Equipement Trained / Incident Report writing -Evidence gathering / Managing teams / EBOSH / First-Aiders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</si>
</sst>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&quot;£&quot;#,##0.00"/>
    <numFmt numFmtId="165" formatCode="[$£-809]#,##0.00"/>
    <numFmt numFmtId="166" formatCode="_-[$£-809]* #,##0.00_-;\-[$£-809]* #,##0.00_-;_-[$£-809]* &quot;-&quot;??_-;_-@_-"/>
    <numFmt numFmtId="167" formatCode="0.0%"/>
  </numFmts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2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3" fillId="2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0" fontId="3" fillId="3" borderId="15" xfId="0" applyNumberFormat="1" applyFont="1" applyFill="1" applyBorder="1" applyAlignment="1">
      <alignment horizontal="center" vertical="center"/>
    </xf>
    <xf numFmtId="8" fontId="3" fillId="3" borderId="15" xfId="0" applyNumberFormat="1" applyFont="1" applyFill="1" applyBorder="1" applyAlignment="1">
      <alignment horizontal="center" vertical="center"/>
    </xf>
    <xf numFmtId="8" fontId="3" fillId="0" borderId="15" xfId="0" applyNumberFormat="1" applyFont="1" applyBorder="1" applyAlignment="1">
      <alignment horizontal="center" vertical="center"/>
    </xf>
    <xf numFmtId="10" fontId="2" fillId="4" borderId="15" xfId="0" applyNumberFormat="1" applyFont="1" applyFill="1" applyBorder="1" applyAlignment="1">
      <alignment horizontal="center" vertical="center"/>
    </xf>
    <xf numFmtId="164" fontId="3" fillId="5" borderId="15" xfId="0" applyNumberFormat="1" applyFont="1" applyFill="1" applyBorder="1" applyAlignment="1">
      <alignment horizontal="center" vertical="center"/>
    </xf>
    <xf numFmtId="8" fontId="3" fillId="4" borderId="15" xfId="0" applyNumberFormat="1" applyFont="1" applyFill="1" applyBorder="1" applyAlignment="1">
      <alignment horizontal="center" vertical="center"/>
    </xf>
    <xf numFmtId="8" fontId="3" fillId="7" borderId="15" xfId="0" applyNumberFormat="1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center" vertical="center"/>
    </xf>
    <xf numFmtId="2" fontId="3" fillId="7" borderId="15" xfId="0" applyNumberFormat="1" applyFont="1" applyFill="1" applyBorder="1" applyAlignment="1">
      <alignment horizontal="center" vertical="center"/>
    </xf>
    <xf numFmtId="0" fontId="0" fillId="0" borderId="15" xfId="0" applyBorder="1"/>
    <xf numFmtId="0" fontId="4" fillId="0" borderId="16" xfId="0" applyFont="1" applyBorder="1" applyAlignment="1">
      <alignment horizontal="center" vertical="center" wrapText="1"/>
    </xf>
    <xf numFmtId="0" fontId="0" fillId="0" borderId="16" xfId="0" applyBorder="1"/>
    <xf numFmtId="164" fontId="4" fillId="6" borderId="17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0" fillId="8" borderId="25" xfId="0" applyFill="1" applyBorder="1" applyAlignment="1">
      <alignment horizontal="center"/>
    </xf>
    <xf numFmtId="164" fontId="4" fillId="6" borderId="25" xfId="0" applyNumberFormat="1" applyFont="1" applyFill="1" applyBorder="1" applyAlignment="1">
      <alignment horizontal="center" vertical="center" wrapText="1"/>
    </xf>
    <xf numFmtId="0" fontId="0" fillId="0" borderId="25" xfId="0" applyBorder="1"/>
    <xf numFmtId="9" fontId="0" fillId="0" borderId="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9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0" borderId="43" xfId="0" applyFill="1" applyBorder="1" applyAlignment="1">
      <alignment vertical="center" wrapText="1"/>
    </xf>
    <xf numFmtId="0" fontId="0" fillId="10" borderId="23" xfId="0" applyFill="1" applyBorder="1" applyAlignment="1">
      <alignment vertical="center" wrapText="1"/>
    </xf>
    <xf numFmtId="164" fontId="0" fillId="10" borderId="43" xfId="0" applyNumberFormat="1" applyFill="1" applyBorder="1" applyAlignment="1">
      <alignment vertical="center" wrapText="1"/>
    </xf>
    <xf numFmtId="164" fontId="0" fillId="10" borderId="23" xfId="0" applyNumberFormat="1" applyFill="1" applyBorder="1" applyAlignment="1">
      <alignment vertical="center" wrapText="1"/>
    </xf>
    <xf numFmtId="0" fontId="0" fillId="10" borderId="33" xfId="0" applyFill="1" applyBorder="1" applyAlignment="1">
      <alignment horizontal="left" vertical="center"/>
    </xf>
    <xf numFmtId="0" fontId="0" fillId="10" borderId="34" xfId="0" applyFill="1" applyBorder="1" applyAlignment="1">
      <alignment horizontal="left" vertical="center"/>
    </xf>
    <xf numFmtId="0" fontId="0" fillId="10" borderId="35" xfId="0" applyFill="1" applyBorder="1" applyAlignment="1">
      <alignment horizontal="left" vertical="center"/>
    </xf>
    <xf numFmtId="0" fontId="0" fillId="10" borderId="36" xfId="0" applyFill="1" applyBorder="1" applyAlignment="1">
      <alignment horizontal="center" vertical="center"/>
    </xf>
    <xf numFmtId="164" fontId="0" fillId="10" borderId="33" xfId="0" applyNumberFormat="1" applyFill="1" applyBorder="1" applyAlignment="1">
      <alignment vertical="center" wrapText="1"/>
    </xf>
    <xf numFmtId="164" fontId="0" fillId="10" borderId="37" xfId="0" applyNumberFormat="1" applyFill="1" applyBorder="1" applyAlignment="1">
      <alignment vertical="center" wrapText="1"/>
    </xf>
    <xf numFmtId="164" fontId="0" fillId="0" borderId="49" xfId="0" applyNumberFormat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0" fontId="0" fillId="10" borderId="43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44" xfId="0" applyFill="1" applyBorder="1" applyAlignment="1">
      <alignment vertical="center"/>
    </xf>
    <xf numFmtId="0" fontId="0" fillId="10" borderId="45" xfId="0" applyFill="1" applyBorder="1" applyAlignment="1">
      <alignment vertical="center"/>
    </xf>
    <xf numFmtId="0" fontId="0" fillId="10" borderId="23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0" fontId="10" fillId="0" borderId="5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6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10" fontId="10" fillId="0" borderId="76" xfId="0" applyNumberFormat="1" applyFont="1" applyBorder="1" applyAlignment="1">
      <alignment horizontal="center" vertical="center"/>
    </xf>
    <xf numFmtId="10" fontId="10" fillId="0" borderId="77" xfId="0" applyNumberFormat="1" applyFont="1" applyBorder="1" applyAlignment="1">
      <alignment horizontal="center" vertical="center"/>
    </xf>
    <xf numFmtId="10" fontId="10" fillId="0" borderId="77" xfId="0" applyNumberFormat="1" applyFont="1" applyBorder="1" applyAlignment="1">
      <alignment horizontal="center" vertical="center" wrapText="1"/>
    </xf>
    <xf numFmtId="10" fontId="10" fillId="0" borderId="60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78" xfId="0" applyNumberFormat="1" applyBorder="1" applyAlignment="1">
      <alignment horizontal="center" vertical="center"/>
    </xf>
    <xf numFmtId="166" fontId="11" fillId="0" borderId="79" xfId="0" applyNumberFormat="1" applyFont="1" applyBorder="1" applyAlignment="1">
      <alignment horizontal="center" vertical="center"/>
    </xf>
    <xf numFmtId="164" fontId="0" fillId="0" borderId="80" xfId="0" applyNumberFormat="1" applyBorder="1" applyAlignment="1">
      <alignment horizontal="center" vertical="center"/>
    </xf>
    <xf numFmtId="166" fontId="11" fillId="0" borderId="81" xfId="0" applyNumberFormat="1" applyFont="1" applyBorder="1" applyAlignment="1">
      <alignment horizontal="center" vertical="center"/>
    </xf>
    <xf numFmtId="164" fontId="0" fillId="0" borderId="82" xfId="0" applyNumberFormat="1" applyBorder="1" applyAlignment="1">
      <alignment horizontal="center" vertical="center"/>
    </xf>
    <xf numFmtId="166" fontId="11" fillId="0" borderId="8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4" fillId="6" borderId="47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166" fontId="8" fillId="0" borderId="80" xfId="0" applyNumberFormat="1" applyFont="1" applyBorder="1" applyAlignment="1">
      <alignment horizontal="center" vertical="center"/>
    </xf>
    <xf numFmtId="166" fontId="8" fillId="0" borderId="81" xfId="0" applyNumberFormat="1" applyFont="1" applyBorder="1" applyAlignment="1">
      <alignment horizontal="center" vertical="center"/>
    </xf>
    <xf numFmtId="166" fontId="8" fillId="0" borderId="8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166" fontId="8" fillId="0" borderId="82" xfId="0" applyNumberFormat="1" applyFont="1" applyBorder="1" applyAlignment="1">
      <alignment horizontal="center" vertical="center"/>
    </xf>
    <xf numFmtId="166" fontId="8" fillId="0" borderId="83" xfId="0" applyNumberFormat="1" applyFont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10" fontId="8" fillId="0" borderId="5" xfId="0" applyNumberFormat="1" applyFont="1" applyBorder="1" applyAlignment="1">
      <alignment horizontal="center" vertical="center"/>
    </xf>
    <xf numFmtId="10" fontId="8" fillId="0" borderId="80" xfId="0" applyNumberFormat="1" applyFont="1" applyBorder="1" applyAlignment="1">
      <alignment horizontal="center" vertical="center"/>
    </xf>
    <xf numFmtId="10" fontId="8" fillId="0" borderId="8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0" fontId="8" fillId="0" borderId="82" xfId="0" applyNumberFormat="1" applyFont="1" applyBorder="1" applyAlignment="1">
      <alignment horizontal="center" vertical="center"/>
    </xf>
    <xf numFmtId="10" fontId="8" fillId="0" borderId="83" xfId="0" applyNumberFormat="1" applyFont="1" applyBorder="1" applyAlignment="1">
      <alignment horizontal="center" vertical="center"/>
    </xf>
    <xf numFmtId="166" fontId="8" fillId="0" borderId="85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166" fontId="0" fillId="0" borderId="81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166" fontId="0" fillId="0" borderId="88" xfId="0" applyNumberFormat="1" applyBorder="1" applyAlignment="1">
      <alignment horizontal="center" vertical="center"/>
    </xf>
    <xf numFmtId="166" fontId="0" fillId="0" borderId="83" xfId="0" applyNumberFormat="1" applyBorder="1" applyAlignment="1">
      <alignment horizontal="center" vertical="center"/>
    </xf>
    <xf numFmtId="0" fontId="1" fillId="0" borderId="91" xfId="0" applyFont="1" applyBorder="1" applyAlignment="1">
      <alignment horizontal="center" vertical="center" wrapText="1"/>
    </xf>
    <xf numFmtId="0" fontId="1" fillId="0" borderId="92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75" xfId="0" applyNumberFormat="1" applyBorder="1" applyAlignment="1">
      <alignment horizontal="center" vertical="center"/>
    </xf>
    <xf numFmtId="2" fontId="0" fillId="0" borderId="75" xfId="0" applyNumberFormat="1" applyBorder="1" applyAlignment="1">
      <alignment horizontal="center" vertical="center"/>
    </xf>
    <xf numFmtId="10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164" fontId="0" fillId="11" borderId="78" xfId="0" applyNumberFormat="1" applyFill="1" applyBorder="1" applyAlignment="1">
      <alignment horizontal="center" vertical="center"/>
    </xf>
    <xf numFmtId="164" fontId="0" fillId="11" borderId="82" xfId="0" applyNumberFormat="1" applyFill="1" applyBorder="1" applyAlignment="1">
      <alignment horizontal="center" vertical="center"/>
    </xf>
    <xf numFmtId="164" fontId="0" fillId="11" borderId="95" xfId="0" applyNumberFormat="1" applyFill="1" applyBorder="1" applyAlignment="1">
      <alignment horizontal="center" vertical="center"/>
    </xf>
    <xf numFmtId="164" fontId="0" fillId="11" borderId="96" xfId="0" applyNumberFormat="1" applyFill="1" applyBorder="1" applyAlignment="1">
      <alignment horizontal="center" vertical="center"/>
    </xf>
    <xf numFmtId="164" fontId="0" fillId="11" borderId="97" xfId="0" applyNumberForma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164" fontId="0" fillId="0" borderId="59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10" borderId="65" xfId="0" applyFill="1" applyBorder="1" applyAlignment="1">
      <alignment horizontal="center" vertical="center"/>
    </xf>
    <xf numFmtId="0" fontId="0" fillId="10" borderId="66" xfId="0" applyFill="1" applyBorder="1" applyAlignment="1">
      <alignment horizontal="center" vertical="center"/>
    </xf>
    <xf numFmtId="0" fontId="0" fillId="10" borderId="67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64" fontId="0" fillId="0" borderId="71" xfId="0" applyNumberFormat="1" applyBorder="1" applyAlignment="1">
      <alignment horizontal="center" vertical="center"/>
    </xf>
    <xf numFmtId="164" fontId="0" fillId="0" borderId="72" xfId="0" applyNumberFormat="1" applyBorder="1" applyAlignment="1">
      <alignment horizontal="center" vertical="center"/>
    </xf>
    <xf numFmtId="164" fontId="0" fillId="0" borderId="73" xfId="0" applyNumberFormat="1" applyBorder="1" applyAlignment="1">
      <alignment horizontal="center" vertical="center"/>
    </xf>
    <xf numFmtId="164" fontId="0" fillId="0" borderId="74" xfId="0" applyNumberFormat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64" fontId="0" fillId="0" borderId="64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164" fontId="0" fillId="0" borderId="57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11" borderId="99" xfId="0" applyFill="1" applyBorder="1" applyAlignment="1">
      <alignment horizontal="center" vertical="center" wrapText="1"/>
    </xf>
    <xf numFmtId="0" fontId="0" fillId="11" borderId="100" xfId="0" applyFill="1" applyBorder="1" applyAlignment="1">
      <alignment horizontal="center" vertical="center" wrapText="1"/>
    </xf>
    <xf numFmtId="0" fontId="0" fillId="11" borderId="101" xfId="0" applyFill="1" applyBorder="1" applyAlignment="1">
      <alignment horizontal="center" vertical="center" wrapText="1"/>
    </xf>
    <xf numFmtId="164" fontId="0" fillId="11" borderId="78" xfId="0" applyNumberFormat="1" applyFill="1" applyBorder="1" applyAlignment="1">
      <alignment horizontal="center" vertical="center" wrapText="1"/>
    </xf>
    <xf numFmtId="164" fontId="0" fillId="11" borderId="79" xfId="0" applyNumberFormat="1" applyFill="1" applyBorder="1" applyAlignment="1">
      <alignment horizontal="center" vertical="center" wrapText="1"/>
    </xf>
    <xf numFmtId="164" fontId="0" fillId="11" borderId="94" xfId="0" applyNumberFormat="1" applyFill="1" applyBorder="1" applyAlignment="1">
      <alignment horizontal="center" vertical="center" wrapText="1"/>
    </xf>
    <xf numFmtId="164" fontId="0" fillId="11" borderId="83" xfId="0" applyNumberFormat="1" applyFill="1" applyBorder="1" applyAlignment="1">
      <alignment horizontal="center" vertical="center" wrapText="1"/>
    </xf>
    <xf numFmtId="0" fontId="0" fillId="11" borderId="76" xfId="0" applyFill="1" applyBorder="1" applyAlignment="1">
      <alignment horizontal="center" vertical="center" wrapText="1"/>
    </xf>
    <xf numFmtId="0" fontId="0" fillId="11" borderId="77" xfId="0" applyFill="1" applyBorder="1" applyAlignment="1">
      <alignment horizontal="center" vertical="center" wrapText="1"/>
    </xf>
    <xf numFmtId="0" fontId="0" fillId="11" borderId="98" xfId="0" applyFill="1" applyBorder="1" applyAlignment="1">
      <alignment horizontal="center" vertical="center" wrapText="1"/>
    </xf>
    <xf numFmtId="164" fontId="0" fillId="11" borderId="82" xfId="0" applyNumberForma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11" borderId="78" xfId="0" applyFill="1" applyBorder="1" applyAlignment="1">
      <alignment horizontal="center" vertical="center" wrapText="1"/>
    </xf>
    <xf numFmtId="0" fontId="0" fillId="11" borderId="87" xfId="0" applyFill="1" applyBorder="1" applyAlignment="1">
      <alignment horizontal="center" vertical="center" wrapText="1"/>
    </xf>
    <xf numFmtId="0" fontId="0" fillId="11" borderId="95" xfId="0" applyFill="1" applyBorder="1" applyAlignment="1">
      <alignment horizontal="center" vertical="center" wrapText="1"/>
    </xf>
    <xf numFmtId="0" fontId="0" fillId="11" borderId="79" xfId="0" applyFill="1" applyBorder="1" applyAlignment="1">
      <alignment horizontal="center" vertical="center" wrapText="1"/>
    </xf>
    <xf numFmtId="0" fontId="0" fillId="11" borderId="82" xfId="0" applyFill="1" applyBorder="1" applyAlignment="1">
      <alignment horizontal="center" vertical="center" wrapText="1"/>
    </xf>
    <xf numFmtId="0" fontId="0" fillId="11" borderId="83" xfId="0" applyFill="1" applyBorder="1" applyAlignment="1">
      <alignment horizontal="center" vertical="center" wrapText="1"/>
    </xf>
    <xf numFmtId="0" fontId="0" fillId="11" borderId="88" xfId="0" applyFill="1" applyBorder="1" applyAlignment="1">
      <alignment horizontal="center" vertical="center" wrapText="1"/>
    </xf>
    <xf numFmtId="0" fontId="0" fillId="11" borderId="96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/>
    </xf>
    <xf numFmtId="10" fontId="10" fillId="0" borderId="3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0" fontId="10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6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8" fillId="0" borderId="80" xfId="0" applyNumberFormat="1" applyFont="1" applyBorder="1" applyAlignment="1">
      <alignment horizontal="center" vertical="center"/>
    </xf>
    <xf numFmtId="166" fontId="8" fillId="0" borderId="89" xfId="0" applyNumberFormat="1" applyFont="1" applyBorder="1" applyAlignment="1">
      <alignment horizontal="center" vertical="center"/>
    </xf>
    <xf numFmtId="166" fontId="8" fillId="0" borderId="90" xfId="0" applyNumberFormat="1" applyFont="1" applyBorder="1" applyAlignment="1">
      <alignment horizontal="center" vertical="center"/>
    </xf>
    <xf numFmtId="166" fontId="8" fillId="0" borderId="84" xfId="0" applyNumberFormat="1" applyFont="1" applyBorder="1" applyAlignment="1">
      <alignment horizontal="center" vertical="center"/>
    </xf>
    <xf numFmtId="166" fontId="8" fillId="0" borderId="85" xfId="0" applyNumberFormat="1" applyFont="1" applyBorder="1" applyAlignment="1">
      <alignment horizontal="center" vertical="center"/>
    </xf>
    <xf numFmtId="166" fontId="8" fillId="0" borderId="86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0" fontId="0" fillId="11" borderId="26" xfId="0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 wrapText="1"/>
    </xf>
    <xf numFmtId="0" fontId="0" fillId="11" borderId="22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0" fillId="11" borderId="26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164" fontId="0" fillId="11" borderId="28" xfId="0" applyNumberFormat="1" applyFill="1" applyBorder="1" applyAlignment="1">
      <alignment horizontal="center" vertical="center" wrapText="1"/>
    </xf>
    <xf numFmtId="164" fontId="0" fillId="11" borderId="32" xfId="0" applyNumberFormat="1" applyFill="1" applyBorder="1" applyAlignment="1">
      <alignment horizontal="center" vertical="center" wrapText="1"/>
    </xf>
    <xf numFmtId="164" fontId="0" fillId="10" borderId="43" xfId="0" applyNumberFormat="1" applyFill="1" applyBorder="1" applyAlignment="1">
      <alignment horizontal="center" vertical="center" wrapText="1"/>
    </xf>
    <xf numFmtId="164" fontId="0" fillId="10" borderId="23" xfId="0" applyNumberForma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 wrapText="1"/>
    </xf>
    <xf numFmtId="0" fontId="0" fillId="9" borderId="36" xfId="0" applyFill="1" applyBorder="1" applyAlignment="1">
      <alignment horizontal="center" vertical="center" wrapText="1"/>
    </xf>
    <xf numFmtId="0" fontId="0" fillId="9" borderId="32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9CB0-5E4C-4AB9-8E9B-0BD85105073F}">
  <dimension ref="B3:CY65"/>
  <sheetViews>
    <sheetView topLeftCell="CI1" workbookViewId="0">
      <selection activeCell="CN3" sqref="CN3:CS11"/>
    </sheetView>
  </sheetViews>
  <sheetFormatPr defaultRowHeight="18.5" x14ac:dyDescent="0.35"/>
  <cols>
    <col min="2" max="2" width="19.54296875" customWidth="1"/>
    <col min="3" max="3" width="14" customWidth="1"/>
    <col min="4" max="4" width="12.26953125" customWidth="1"/>
    <col min="5" max="5" width="13.453125" customWidth="1"/>
    <col min="17" max="17" width="7.7265625" customWidth="1"/>
    <col min="19" max="21" width="9.1796875" customWidth="1"/>
    <col min="22" max="23" width="9.1796875" style="28"/>
    <col min="24" max="24" width="10.1796875" style="28" bestFit="1" customWidth="1"/>
    <col min="25" max="25" width="11.453125" style="28" customWidth="1"/>
    <col min="26" max="29" width="0" hidden="1" customWidth="1"/>
    <col min="30" max="30" width="14.7265625" hidden="1" customWidth="1"/>
    <col min="31" max="34" width="0" hidden="1" customWidth="1"/>
    <col min="38" max="38" width="0" hidden="1" customWidth="1"/>
    <col min="39" max="39" width="12.7265625" style="67" hidden="1" customWidth="1"/>
    <col min="40" max="40" width="16.26953125" style="67" hidden="1" customWidth="1"/>
    <col min="41" max="41" width="13.453125" style="67" hidden="1" customWidth="1"/>
    <col min="42" max="42" width="0" hidden="1" customWidth="1"/>
    <col min="46" max="63" width="9.1796875" style="28"/>
    <col min="64" max="64" width="14.453125" style="28" customWidth="1"/>
    <col min="65" max="65" width="21.26953125" style="28" customWidth="1"/>
    <col min="66" max="67" width="10" style="28" bestFit="1" customWidth="1"/>
    <col min="68" max="70" width="10" style="28" customWidth="1"/>
    <col min="71" max="72" width="20.7265625" style="28" customWidth="1"/>
    <col min="73" max="73" width="16.453125" style="28" customWidth="1"/>
    <col min="74" max="74" width="16.7265625" style="28" customWidth="1"/>
    <col min="75" max="75" width="9.1796875" style="28"/>
    <col min="76" max="76" width="25" style="70" customWidth="1"/>
    <col min="77" max="77" width="26.54296875" style="70" customWidth="1"/>
    <col min="78" max="79" width="9.1796875" style="28"/>
    <col min="80" max="80" width="13.453125" style="28" customWidth="1"/>
    <col min="81" max="85" width="9.1796875" style="28"/>
    <col min="87" max="87" width="12.7265625" bestFit="1" customWidth="1"/>
    <col min="88" max="88" width="14.81640625" customWidth="1"/>
    <col min="89" max="89" width="12.7265625" customWidth="1"/>
    <col min="92" max="92" width="36.54296875" bestFit="1" customWidth="1"/>
    <col min="93" max="93" width="11.1796875" bestFit="1" customWidth="1"/>
    <col min="94" max="94" width="10.54296875" bestFit="1" customWidth="1"/>
    <col min="96" max="96" width="9.54296875" bestFit="1" customWidth="1"/>
    <col min="97" max="97" width="14.26953125" customWidth="1"/>
    <col min="99" max="99" width="26.7265625" bestFit="1" customWidth="1"/>
  </cols>
  <sheetData>
    <row r="3" spans="2:103" ht="26" x14ac:dyDescent="0.35">
      <c r="AT3" s="254" t="s">
        <v>0</v>
      </c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6"/>
      <c r="CE3" s="148"/>
      <c r="CF3" s="148"/>
      <c r="CG3" s="148"/>
      <c r="CN3" s="167" t="s">
        <v>1</v>
      </c>
      <c r="CO3" s="167">
        <v>2024</v>
      </c>
      <c r="CP3" s="75"/>
      <c r="CQ3" s="33">
        <v>0.06</v>
      </c>
      <c r="CR3" s="142"/>
      <c r="CS3" s="26" t="s">
        <v>2</v>
      </c>
    </row>
    <row r="4" spans="2:103" ht="26" x14ac:dyDescent="0.35">
      <c r="AT4" s="257"/>
      <c r="AU4" s="258"/>
      <c r="AV4" s="258"/>
      <c r="AW4" s="258"/>
      <c r="AX4" s="258"/>
      <c r="AY4" s="258"/>
      <c r="AZ4" s="258"/>
      <c r="BA4" s="258"/>
      <c r="BB4" s="258"/>
      <c r="BC4" s="258"/>
      <c r="BD4" s="258"/>
      <c r="BE4" s="258"/>
      <c r="BF4" s="258"/>
      <c r="BG4" s="258"/>
      <c r="BH4" s="258"/>
      <c r="BI4" s="258"/>
      <c r="BJ4" s="258"/>
      <c r="BK4" s="258"/>
      <c r="BL4" s="258"/>
      <c r="BM4" s="258"/>
      <c r="BN4" s="258"/>
      <c r="BO4" s="258"/>
      <c r="BP4" s="258"/>
      <c r="BQ4" s="258"/>
      <c r="BR4" s="258"/>
      <c r="BS4" s="258"/>
      <c r="BT4" s="258"/>
      <c r="BU4" s="258"/>
      <c r="BV4" s="258"/>
      <c r="BW4" s="258"/>
      <c r="BX4" s="258"/>
      <c r="BY4" s="258"/>
      <c r="BZ4" s="258"/>
      <c r="CA4" s="258"/>
      <c r="CB4" s="258"/>
      <c r="CC4" s="258"/>
      <c r="CD4" s="259"/>
      <c r="CE4" s="148"/>
      <c r="CF4" s="148"/>
      <c r="CG4" s="148"/>
      <c r="CN4" s="26" t="s">
        <v>3</v>
      </c>
      <c r="CO4" s="66">
        <v>39.01</v>
      </c>
      <c r="CP4" s="66"/>
      <c r="CQ4" s="123">
        <f>SUM(CO4*6%)</f>
        <v>2.3405999999999998</v>
      </c>
      <c r="CR4" s="143"/>
      <c r="CS4" s="66">
        <f>SUM(CO4,CQ4)</f>
        <v>41.3506</v>
      </c>
    </row>
    <row r="5" spans="2:103" ht="26" x14ac:dyDescent="0.35">
      <c r="B5" s="260" t="s">
        <v>4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2"/>
      <c r="AT5" s="267" t="s">
        <v>4</v>
      </c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8"/>
      <c r="BL5" s="268"/>
      <c r="BM5" s="268"/>
      <c r="BN5" s="268"/>
      <c r="BO5" s="268"/>
      <c r="BP5" s="268"/>
      <c r="BQ5" s="268"/>
      <c r="BR5" s="268"/>
      <c r="BS5" s="268"/>
      <c r="BT5" s="268"/>
      <c r="BU5" s="268"/>
      <c r="BV5" s="268"/>
      <c r="BW5" s="268"/>
      <c r="BX5" s="268"/>
      <c r="BY5" s="268"/>
      <c r="BZ5" s="268"/>
      <c r="CA5" s="268"/>
      <c r="CB5" s="268"/>
      <c r="CC5" s="268"/>
      <c r="CD5" s="269"/>
      <c r="CE5" s="147"/>
      <c r="CF5" s="147"/>
      <c r="CG5" s="147"/>
      <c r="CN5" s="26" t="s">
        <v>5</v>
      </c>
      <c r="CO5" s="66">
        <v>35.630000000000003</v>
      </c>
      <c r="CP5" s="66">
        <v>33.54</v>
      </c>
      <c r="CQ5" s="123">
        <f>SUM(CO5*6%)</f>
        <v>2.1377999999999999</v>
      </c>
      <c r="CR5" s="143"/>
      <c r="CS5" s="66">
        <f>SUM(CO5,CQ5)</f>
        <v>37.767800000000001</v>
      </c>
      <c r="CT5">
        <v>37.270000000000003</v>
      </c>
      <c r="CU5" s="144">
        <f>SUM(CT5-CP5)/CT5</f>
        <v>0.10008049369466068</v>
      </c>
      <c r="CX5">
        <v>35.130000000000003</v>
      </c>
      <c r="CY5" s="144">
        <f>SUM(CT5-CX5)/CT5</f>
        <v>5.7418835524550585E-2</v>
      </c>
    </row>
    <row r="6" spans="2:103" ht="26" x14ac:dyDescent="0.35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6"/>
      <c r="AT6" s="270"/>
      <c r="AU6" s="271"/>
      <c r="AV6" s="271"/>
      <c r="AW6" s="271"/>
      <c r="AX6" s="271"/>
      <c r="AY6" s="271"/>
      <c r="AZ6" s="271"/>
      <c r="BA6" s="271"/>
      <c r="BB6" s="271"/>
      <c r="BC6" s="271"/>
      <c r="BD6" s="271"/>
      <c r="BE6" s="271"/>
      <c r="BF6" s="271"/>
      <c r="BG6" s="271"/>
      <c r="BH6" s="271"/>
      <c r="BI6" s="271"/>
      <c r="BJ6" s="271"/>
      <c r="BK6" s="271"/>
      <c r="BL6" s="271"/>
      <c r="BM6" s="271"/>
      <c r="BN6" s="271"/>
      <c r="BO6" s="271"/>
      <c r="BP6" s="271"/>
      <c r="BQ6" s="268"/>
      <c r="BR6" s="268"/>
      <c r="BS6" s="268"/>
      <c r="BT6" s="271"/>
      <c r="BU6" s="271"/>
      <c r="BV6" s="271"/>
      <c r="BW6" s="271"/>
      <c r="BX6" s="271"/>
      <c r="BY6" s="271"/>
      <c r="BZ6" s="271"/>
      <c r="CA6" s="271"/>
      <c r="CB6" s="271"/>
      <c r="CC6" s="271"/>
      <c r="CD6" s="272"/>
      <c r="CE6" s="147"/>
      <c r="CF6" s="147"/>
      <c r="CG6" s="147"/>
      <c r="CN6" s="26" t="s">
        <v>6</v>
      </c>
      <c r="CO6" s="66">
        <v>31.97</v>
      </c>
      <c r="CP6" s="66"/>
      <c r="CQ6" s="123">
        <f t="shared" ref="CQ6:CQ11" si="0">SUM(CO6*6%)</f>
        <v>1.9181999999999999</v>
      </c>
      <c r="CR6" s="143"/>
      <c r="CS6" s="66">
        <f t="shared" ref="CS6:CS11" si="1">SUM(CO6,CQ6)</f>
        <v>33.888199999999998</v>
      </c>
    </row>
    <row r="7" spans="2:103" ht="74" x14ac:dyDescent="0.35">
      <c r="B7" s="22" t="s">
        <v>7</v>
      </c>
      <c r="C7" s="23" t="s">
        <v>8</v>
      </c>
      <c r="D7" s="23" t="s">
        <v>9</v>
      </c>
      <c r="E7" s="23" t="s">
        <v>10</v>
      </c>
      <c r="F7" s="23" t="s">
        <v>11</v>
      </c>
      <c r="G7" s="23" t="s">
        <v>12</v>
      </c>
      <c r="H7" s="23" t="s">
        <v>12</v>
      </c>
      <c r="I7" s="23" t="s">
        <v>13</v>
      </c>
      <c r="J7" s="23" t="s">
        <v>14</v>
      </c>
      <c r="K7" s="23" t="s">
        <v>15</v>
      </c>
      <c r="L7" s="23" t="s">
        <v>13</v>
      </c>
      <c r="M7" s="23" t="s">
        <v>16</v>
      </c>
      <c r="N7" s="23" t="s">
        <v>17</v>
      </c>
      <c r="O7" s="23" t="s">
        <v>18</v>
      </c>
      <c r="P7" s="23" t="s">
        <v>19</v>
      </c>
      <c r="Q7" s="23" t="s">
        <v>20</v>
      </c>
      <c r="R7" s="23" t="s">
        <v>21</v>
      </c>
      <c r="S7" s="24" t="s">
        <v>22</v>
      </c>
      <c r="T7" s="25" t="s">
        <v>23</v>
      </c>
      <c r="U7" s="29"/>
      <c r="AI7" s="27"/>
      <c r="AT7" s="131" t="s">
        <v>7</v>
      </c>
      <c r="AU7" s="132" t="s">
        <v>8</v>
      </c>
      <c r="AV7" s="132" t="s">
        <v>9</v>
      </c>
      <c r="AW7" s="132" t="s">
        <v>10</v>
      </c>
      <c r="AX7" s="132" t="s">
        <v>11</v>
      </c>
      <c r="AY7" s="132" t="s">
        <v>12</v>
      </c>
      <c r="AZ7" s="132" t="s">
        <v>12</v>
      </c>
      <c r="BA7" s="132" t="s">
        <v>13</v>
      </c>
      <c r="BB7" s="132" t="s">
        <v>14</v>
      </c>
      <c r="BC7" s="132" t="s">
        <v>15</v>
      </c>
      <c r="BD7" s="132" t="s">
        <v>13</v>
      </c>
      <c r="BE7" s="132" t="s">
        <v>16</v>
      </c>
      <c r="BF7" s="132" t="s">
        <v>17</v>
      </c>
      <c r="BG7" s="132" t="s">
        <v>18</v>
      </c>
      <c r="BH7" s="132" t="s">
        <v>19</v>
      </c>
      <c r="BI7" s="132" t="s">
        <v>20</v>
      </c>
      <c r="BJ7" s="132" t="s">
        <v>21</v>
      </c>
      <c r="BK7" s="133" t="s">
        <v>22</v>
      </c>
      <c r="BL7" s="134" t="s">
        <v>24</v>
      </c>
      <c r="BM7" s="135" t="s">
        <v>25</v>
      </c>
      <c r="BN7" s="88"/>
      <c r="BO7" s="1"/>
      <c r="BQ7" s="248" t="s">
        <v>26</v>
      </c>
      <c r="BR7" s="249"/>
      <c r="BS7" s="250"/>
      <c r="BU7" s="104" t="s">
        <v>27</v>
      </c>
      <c r="BV7" s="104" t="s">
        <v>27</v>
      </c>
      <c r="BX7" s="136" t="s">
        <v>28</v>
      </c>
      <c r="BY7" s="137" t="s">
        <v>29</v>
      </c>
      <c r="CA7" s="273" t="s">
        <v>30</v>
      </c>
      <c r="CB7" s="274"/>
      <c r="CD7" s="1"/>
      <c r="CI7" s="124" t="s">
        <v>31</v>
      </c>
      <c r="CJ7" s="125" t="s">
        <v>32</v>
      </c>
      <c r="CK7" s="126" t="s">
        <v>33</v>
      </c>
      <c r="CN7" s="26" t="s">
        <v>34</v>
      </c>
      <c r="CO7" s="66">
        <v>29.22</v>
      </c>
      <c r="CP7" s="66">
        <v>27.4</v>
      </c>
      <c r="CQ7" s="123">
        <f t="shared" si="0"/>
        <v>1.7531999999999999</v>
      </c>
      <c r="CR7" s="143"/>
      <c r="CS7" s="66">
        <f t="shared" si="1"/>
        <v>30.973199999999999</v>
      </c>
      <c r="CT7">
        <v>30.47</v>
      </c>
      <c r="CU7" s="144">
        <f>SUM(CT7-CP7)/CT7</f>
        <v>0.100754840827043</v>
      </c>
      <c r="CX7">
        <v>28.72</v>
      </c>
      <c r="CY7" s="144">
        <f>SUM(CT7-CX7)/CT7</f>
        <v>5.7433541188053827E-2</v>
      </c>
    </row>
    <row r="8" spans="2:103" ht="23.5" x14ac:dyDescent="0.35">
      <c r="B8" s="275" t="s">
        <v>35</v>
      </c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7"/>
      <c r="U8" s="30"/>
      <c r="V8" s="138" t="s">
        <v>36</v>
      </c>
      <c r="W8" s="28" t="s">
        <v>37</v>
      </c>
      <c r="X8" s="28" t="s">
        <v>37</v>
      </c>
      <c r="Y8" s="28" t="s">
        <v>36</v>
      </c>
      <c r="AI8" s="27"/>
      <c r="AR8" t="s">
        <v>38</v>
      </c>
      <c r="AS8" t="s">
        <v>39</v>
      </c>
      <c r="AT8" s="278" t="s">
        <v>35</v>
      </c>
      <c r="AU8" s="279"/>
      <c r="AV8" s="279"/>
      <c r="AW8" s="279"/>
      <c r="AX8" s="279"/>
      <c r="AY8" s="279"/>
      <c r="AZ8" s="279"/>
      <c r="BA8" s="279"/>
      <c r="BB8" s="279"/>
      <c r="BC8" s="279"/>
      <c r="BD8" s="279"/>
      <c r="BE8" s="279"/>
      <c r="BF8" s="279"/>
      <c r="BG8" s="279"/>
      <c r="BH8" s="279"/>
      <c r="BI8" s="279"/>
      <c r="BJ8" s="279"/>
      <c r="BK8" s="279"/>
      <c r="BL8" s="280"/>
      <c r="BM8" s="112"/>
      <c r="BN8" s="104" t="s">
        <v>36</v>
      </c>
      <c r="BO8" s="105" t="s">
        <v>37</v>
      </c>
      <c r="BP8" s="70"/>
      <c r="BQ8" s="248" t="s">
        <v>40</v>
      </c>
      <c r="BR8" s="249"/>
      <c r="BS8" s="250"/>
      <c r="BT8" s="70"/>
      <c r="BU8" s="113" t="s">
        <v>36</v>
      </c>
      <c r="BV8" s="114" t="s">
        <v>37</v>
      </c>
      <c r="BW8" s="70"/>
      <c r="BX8" s="115"/>
      <c r="BY8" s="116"/>
      <c r="CA8" s="273"/>
      <c r="CB8" s="274"/>
      <c r="CD8" s="1"/>
      <c r="CI8" s="98"/>
      <c r="CJ8" s="26"/>
      <c r="CK8" s="99"/>
      <c r="CN8" s="26" t="s">
        <v>41</v>
      </c>
      <c r="CO8" s="66">
        <v>30.93</v>
      </c>
      <c r="CP8" s="66"/>
      <c r="CQ8" s="123">
        <f t="shared" si="0"/>
        <v>1.8557999999999999</v>
      </c>
      <c r="CR8" s="143"/>
      <c r="CS8" s="66">
        <f t="shared" si="1"/>
        <v>32.785800000000002</v>
      </c>
    </row>
    <row r="9" spans="2:103" x14ac:dyDescent="0.35">
      <c r="B9" s="18" t="s">
        <v>42</v>
      </c>
      <c r="C9" s="6">
        <v>13.2</v>
      </c>
      <c r="D9" s="7" t="s">
        <v>43</v>
      </c>
      <c r="E9" s="8">
        <v>0.1207</v>
      </c>
      <c r="F9" s="9">
        <f>SUM(C9*12.07%)</f>
        <v>1.59324</v>
      </c>
      <c r="G9" s="10">
        <f>SUM(F9,C9)</f>
        <v>14.793239999999999</v>
      </c>
      <c r="H9" s="10">
        <f>SUM(G9*40)</f>
        <v>591.7296</v>
      </c>
      <c r="I9" s="11">
        <v>0.13800000000000001</v>
      </c>
      <c r="J9" s="12">
        <v>175</v>
      </c>
      <c r="K9" s="12">
        <f>SUM(H9-J9)/40</f>
        <v>10.418240000000001</v>
      </c>
      <c r="L9" s="13">
        <f>SUM(K9*13.8%)</f>
        <v>1.4377171200000003</v>
      </c>
      <c r="M9" s="14">
        <f>SUM(G9,L9)</f>
        <v>16.230957119999999</v>
      </c>
      <c r="N9" s="15">
        <v>0.45</v>
      </c>
      <c r="O9" s="14">
        <v>0.08</v>
      </c>
      <c r="P9" s="14">
        <f>SUM(M9,N9)</f>
        <v>16.680957119999999</v>
      </c>
      <c r="Q9" s="16">
        <f>SUM(P9*20%)</f>
        <v>3.3361914239999999</v>
      </c>
      <c r="R9" s="14">
        <f>SUM(P9,Q9)</f>
        <v>20.017148543999998</v>
      </c>
      <c r="S9" s="34">
        <v>25.23</v>
      </c>
      <c r="T9" s="20">
        <f>SUM(S9-R9)</f>
        <v>5.2128514560000028</v>
      </c>
      <c r="U9" s="31">
        <f>SUM(T9,Q9)</f>
        <v>8.5490428800000018</v>
      </c>
      <c r="V9" s="139">
        <f>SUM(S9-P9)</f>
        <v>8.5490428800000018</v>
      </c>
      <c r="W9" s="140">
        <f>SUM(S9-R9)</f>
        <v>5.2128514560000028</v>
      </c>
      <c r="X9" s="281">
        <f>SUM(W9,W10*16)/16</f>
        <v>7.8786546720000032</v>
      </c>
      <c r="Y9" s="281">
        <f>SUM(V9,V10*16)/16</f>
        <v>11.423358060000002</v>
      </c>
      <c r="AI9" s="27"/>
      <c r="AL9" s="67"/>
      <c r="AP9" s="67"/>
      <c r="AQ9" s="67">
        <f>S9*11</f>
        <v>277.53000000000003</v>
      </c>
      <c r="AR9" s="67"/>
      <c r="AS9" s="67"/>
      <c r="AT9" s="18" t="s">
        <v>42</v>
      </c>
      <c r="AU9" s="6">
        <v>13.86</v>
      </c>
      <c r="AV9" s="7" t="s">
        <v>43</v>
      </c>
      <c r="AW9" s="8">
        <v>0.1207</v>
      </c>
      <c r="AX9" s="9">
        <f>SUM(AU9*12.07%)</f>
        <v>1.6729019999999999</v>
      </c>
      <c r="AY9" s="10">
        <f>SUM(AX9,AU9)</f>
        <v>15.532902</v>
      </c>
      <c r="AZ9" s="10">
        <f>SUM(AY9*40)</f>
        <v>621.31608000000006</v>
      </c>
      <c r="BA9" s="11">
        <v>0.15</v>
      </c>
      <c r="BB9" s="12">
        <v>96.15</v>
      </c>
      <c r="BC9" s="12">
        <f>SUM(AZ9-BB9)/40</f>
        <v>13.129152000000001</v>
      </c>
      <c r="BD9" s="13">
        <f>SUM(BC9*15%)</f>
        <v>1.9693728000000001</v>
      </c>
      <c r="BE9" s="14">
        <f>SUM(AY9,BD9)</f>
        <v>17.502274799999999</v>
      </c>
      <c r="BF9" s="15">
        <v>0.45</v>
      </c>
      <c r="BG9" s="14">
        <v>0.08</v>
      </c>
      <c r="BH9" s="14">
        <f>SUM(BE9,BF9,BG9)</f>
        <v>18.032274799999996</v>
      </c>
      <c r="BI9" s="16">
        <f>SUM(BH9*30%)</f>
        <v>5.4096824399999983</v>
      </c>
      <c r="BJ9" s="14">
        <f>SUM(BH9,BI9)</f>
        <v>23.441957239999994</v>
      </c>
      <c r="BK9" s="89">
        <f>SUM(CS11)</f>
        <v>26.7438</v>
      </c>
      <c r="BL9" s="20">
        <f>SUM(BK9-BJ9)</f>
        <v>3.3018427600000066</v>
      </c>
      <c r="BM9" s="103">
        <f>SUM(BK9-BH9)</f>
        <v>8.7115252000000041</v>
      </c>
      <c r="BN9" s="106">
        <f>SUM(BK9-BH9)</f>
        <v>8.7115252000000041</v>
      </c>
      <c r="BO9" s="107">
        <f>SUM(BK9-BJ9)</f>
        <v>3.3018427600000066</v>
      </c>
      <c r="BP9" s="100"/>
      <c r="BQ9" s="88" t="s">
        <v>40</v>
      </c>
      <c r="BR9" s="28" t="s">
        <v>38</v>
      </c>
      <c r="BS9" s="1" t="s">
        <v>39</v>
      </c>
      <c r="BT9"/>
      <c r="BU9" s="282">
        <f>BS13*16</f>
        <v>151.78640320000011</v>
      </c>
      <c r="BV9" s="282">
        <f>BR13*16</f>
        <v>65.23148416000015</v>
      </c>
      <c r="BW9" s="70"/>
      <c r="BX9" s="117">
        <f>(BK10-BH10)/BK10</f>
        <v>0.38296771853463923</v>
      </c>
      <c r="BY9" s="118">
        <f>(BK10-BJ10)/BK10</f>
        <v>0.19785803409503105</v>
      </c>
      <c r="CA9" s="89">
        <v>26.62</v>
      </c>
      <c r="CB9" s="90">
        <f>SUM(CA9*1.5)</f>
        <v>39.93</v>
      </c>
      <c r="CD9" s="1"/>
      <c r="CI9" s="98">
        <v>100</v>
      </c>
      <c r="CJ9" s="123">
        <f>SUM(CI9*BU9)</f>
        <v>15178.640320000011</v>
      </c>
      <c r="CK9" s="127">
        <f>SUM(CI9*BV9)</f>
        <v>6523.1484160000145</v>
      </c>
      <c r="CN9" s="26" t="s">
        <v>44</v>
      </c>
      <c r="CO9" s="66">
        <v>28.32</v>
      </c>
      <c r="CP9" s="66">
        <v>26.54</v>
      </c>
      <c r="CQ9" s="123">
        <f t="shared" si="0"/>
        <v>1.6992</v>
      </c>
      <c r="CR9" s="143"/>
      <c r="CS9" s="66">
        <f t="shared" si="1"/>
        <v>30.019200000000001</v>
      </c>
      <c r="CT9">
        <v>29.52</v>
      </c>
      <c r="CU9" s="144">
        <f>SUM(CT9-CP9)/CT9</f>
        <v>0.10094850948509487</v>
      </c>
      <c r="CX9">
        <v>27.82</v>
      </c>
      <c r="CY9" s="144">
        <f>SUM(CT9-CX9)/CT9</f>
        <v>5.7588075880758788E-2</v>
      </c>
    </row>
    <row r="10" spans="2:103" x14ac:dyDescent="0.35">
      <c r="B10" s="18" t="s">
        <v>42</v>
      </c>
      <c r="C10" s="6">
        <v>13.2</v>
      </c>
      <c r="D10" s="7" t="s">
        <v>43</v>
      </c>
      <c r="E10" s="8">
        <v>0.1207</v>
      </c>
      <c r="F10" s="9">
        <f>SUM(C10*12.07%)</f>
        <v>1.59324</v>
      </c>
      <c r="G10" s="10">
        <f>SUM(F10,C10)</f>
        <v>14.793239999999999</v>
      </c>
      <c r="H10" s="10">
        <f>SUM(G10*40)</f>
        <v>591.7296</v>
      </c>
      <c r="I10" s="11">
        <v>0.13800000000000001</v>
      </c>
      <c r="J10" s="12">
        <v>175</v>
      </c>
      <c r="K10" s="12">
        <f>SUM(H10-J10)/40</f>
        <v>10.418240000000001</v>
      </c>
      <c r="L10" s="13">
        <f>SUM(K10*13.8%)</f>
        <v>1.4377171200000003</v>
      </c>
      <c r="M10" s="14">
        <f>SUM(G10,L10)</f>
        <v>16.230957119999999</v>
      </c>
      <c r="N10" s="15">
        <v>0.45</v>
      </c>
      <c r="O10" s="14">
        <v>0.08</v>
      </c>
      <c r="P10" s="14">
        <f>SUM(M10,N10)</f>
        <v>16.680957119999999</v>
      </c>
      <c r="Q10" s="16">
        <f>SUM(P10*20%)</f>
        <v>3.3361914239999999</v>
      </c>
      <c r="R10" s="14">
        <f>SUM(P10,Q10)</f>
        <v>20.017148543999998</v>
      </c>
      <c r="S10" s="34">
        <v>27.57</v>
      </c>
      <c r="T10" s="20">
        <f t="shared" ref="T10" si="2">SUM(S10-R10)</f>
        <v>7.5528514560000026</v>
      </c>
      <c r="U10" s="31">
        <f>SUM(T10,Q10)</f>
        <v>10.889042880000002</v>
      </c>
      <c r="V10" s="140">
        <f>SUM(S10-P10)</f>
        <v>10.889042880000002</v>
      </c>
      <c r="W10" s="140">
        <f>SUM(S10-R10)</f>
        <v>7.5528514560000026</v>
      </c>
      <c r="X10" s="281"/>
      <c r="Y10" s="281"/>
      <c r="AI10" s="27"/>
      <c r="AL10" s="67"/>
      <c r="AP10" s="67"/>
      <c r="AQ10" s="67">
        <f>S10*5</f>
        <v>137.85</v>
      </c>
      <c r="AR10" s="67">
        <f>R10*16</f>
        <v>320.27437670399996</v>
      </c>
      <c r="AS10" s="67">
        <f>P10*16</f>
        <v>266.89531391999998</v>
      </c>
      <c r="AT10" s="18" t="s">
        <v>42</v>
      </c>
      <c r="AU10" s="6">
        <v>13.86</v>
      </c>
      <c r="AV10" s="7" t="s">
        <v>43</v>
      </c>
      <c r="AW10" s="8">
        <v>0.1207</v>
      </c>
      <c r="AX10" s="9">
        <f>SUM(AU10*12.07%)</f>
        <v>1.6729019999999999</v>
      </c>
      <c r="AY10" s="10">
        <f>SUM(AX10,AU10)</f>
        <v>15.532902</v>
      </c>
      <c r="AZ10" s="10">
        <f>SUM(AY10*40)</f>
        <v>621.31608000000006</v>
      </c>
      <c r="BA10" s="11">
        <v>0.15</v>
      </c>
      <c r="BB10" s="12">
        <v>96.15</v>
      </c>
      <c r="BC10" s="12">
        <f>SUM(AZ10-BB10)/40</f>
        <v>13.129152000000001</v>
      </c>
      <c r="BD10" s="13">
        <f>SUM(BC10*15%)</f>
        <v>1.9693728000000001</v>
      </c>
      <c r="BE10" s="14">
        <f>SUM(AY10,BD10)</f>
        <v>17.502274799999999</v>
      </c>
      <c r="BF10" s="15">
        <v>0.45</v>
      </c>
      <c r="BG10" s="14">
        <v>0.08</v>
      </c>
      <c r="BH10" s="14">
        <f>SUM(BE10,BF10,BG10)</f>
        <v>18.032274799999996</v>
      </c>
      <c r="BI10" s="16">
        <f>SUM(BH10*30%)</f>
        <v>5.4096824399999983</v>
      </c>
      <c r="BJ10" s="14">
        <f>SUM(BH10,BI10)</f>
        <v>23.441957239999994</v>
      </c>
      <c r="BK10" s="91">
        <f>SUM(CS10)</f>
        <v>29.2242</v>
      </c>
      <c r="BL10" s="20">
        <f>SUM(BK10-BJ10)</f>
        <v>5.7822427600000061</v>
      </c>
      <c r="BM10" s="103">
        <f>SUM(BK10-BH10)</f>
        <v>11.191925200000004</v>
      </c>
      <c r="BN10" s="106">
        <f>SUM(BK10-BH10)</f>
        <v>11.191925200000004</v>
      </c>
      <c r="BO10" s="107">
        <f>SUM(BK10-BJ10)</f>
        <v>5.7822427600000061</v>
      </c>
      <c r="BP10" s="100"/>
      <c r="BQ10" s="151">
        <f>BK9*11</f>
        <v>294.18180000000001</v>
      </c>
      <c r="BR10" s="149"/>
      <c r="BS10" s="152"/>
      <c r="BT10" s="67"/>
      <c r="BU10" s="282"/>
      <c r="BV10" s="282"/>
      <c r="BW10" s="70"/>
      <c r="BX10" s="117">
        <f>(BK10-BH10)/BK10</f>
        <v>0.38296771853463923</v>
      </c>
      <c r="BY10" s="118">
        <f>(BK10-BJ10)/BK10</f>
        <v>0.19785803409503105</v>
      </c>
      <c r="CA10" s="91">
        <v>29.09</v>
      </c>
      <c r="CB10" s="92">
        <f t="shared" ref="CB10" si="3">SUM(CA10*1.5)</f>
        <v>43.634999999999998</v>
      </c>
      <c r="CD10" s="1"/>
      <c r="CI10" s="98"/>
      <c r="CJ10" s="26"/>
      <c r="CK10" s="99"/>
      <c r="CN10" s="26" t="s">
        <v>45</v>
      </c>
      <c r="CO10" s="66">
        <v>27.57</v>
      </c>
      <c r="CP10" s="66"/>
      <c r="CQ10" s="123">
        <f t="shared" si="0"/>
        <v>1.6541999999999999</v>
      </c>
      <c r="CR10" s="143"/>
      <c r="CS10" s="66">
        <f t="shared" si="1"/>
        <v>29.2242</v>
      </c>
    </row>
    <row r="11" spans="2:103" x14ac:dyDescent="0.35">
      <c r="B11" s="19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1"/>
      <c r="U11" s="32"/>
      <c r="X11" s="141"/>
      <c r="Y11" s="141"/>
      <c r="AI11" s="27"/>
      <c r="AL11" s="67"/>
      <c r="AP11" s="67"/>
      <c r="AQ11" s="67">
        <f>SUM(AQ9:AQ10)/16</f>
        <v>25.96125</v>
      </c>
      <c r="AR11" s="67">
        <f>AR10/16</f>
        <v>20.017148543999998</v>
      </c>
      <c r="AS11" s="67">
        <f>AS10/16</f>
        <v>16.680957119999999</v>
      </c>
      <c r="AT11" s="88"/>
      <c r="BN11" s="108"/>
      <c r="BO11" s="109"/>
      <c r="BP11" s="100"/>
      <c r="BQ11" s="151">
        <f>BK10*5</f>
        <v>146.12100000000001</v>
      </c>
      <c r="BR11" s="149">
        <f>BJ9*16</f>
        <v>375.0713158399999</v>
      </c>
      <c r="BS11" s="152">
        <f>BH9*16</f>
        <v>288.51639679999994</v>
      </c>
      <c r="BT11" s="67"/>
      <c r="BU11" s="108"/>
      <c r="BV11" s="109"/>
      <c r="BW11" s="70"/>
      <c r="BX11" s="119"/>
      <c r="BY11" s="105"/>
      <c r="CA11" s="91"/>
      <c r="CB11" s="92"/>
      <c r="CD11" s="1"/>
      <c r="CI11" s="98"/>
      <c r="CJ11" s="26"/>
      <c r="CK11" s="99"/>
      <c r="CN11" s="26" t="s">
        <v>46</v>
      </c>
      <c r="CO11" s="26">
        <v>25.23</v>
      </c>
      <c r="CP11" s="66">
        <v>23.58</v>
      </c>
      <c r="CQ11" s="123">
        <f t="shared" si="0"/>
        <v>1.5138</v>
      </c>
      <c r="CR11" s="143"/>
      <c r="CS11" s="66">
        <f t="shared" si="1"/>
        <v>26.7438</v>
      </c>
      <c r="CT11">
        <v>26.24</v>
      </c>
      <c r="CU11" s="144">
        <f>SUM(CT11-CP11)/CT11</f>
        <v>0.1013719512195122</v>
      </c>
      <c r="CX11">
        <v>24.73</v>
      </c>
      <c r="CY11" s="144">
        <f>SUM(CT11-CX11)/CT11</f>
        <v>5.7545731707316999E-2</v>
      </c>
    </row>
    <row r="12" spans="2:103" x14ac:dyDescent="0.35">
      <c r="B12" s="18" t="s">
        <v>47</v>
      </c>
      <c r="C12" s="6">
        <v>15.05</v>
      </c>
      <c r="D12" s="7" t="s">
        <v>43</v>
      </c>
      <c r="E12" s="8">
        <v>0.1207</v>
      </c>
      <c r="F12" s="9">
        <f>SUM(C12*12.07%)</f>
        <v>1.816535</v>
      </c>
      <c r="G12" s="10">
        <f>SUM(F12,C12)</f>
        <v>16.866534999999999</v>
      </c>
      <c r="H12" s="10">
        <f>SUM(G12*40)</f>
        <v>674.66139999999996</v>
      </c>
      <c r="I12" s="11">
        <v>0.13800000000000001</v>
      </c>
      <c r="J12" s="12">
        <v>175</v>
      </c>
      <c r="K12" s="12">
        <f t="shared" ref="K12:K13" si="4">SUM(H12-J12)/40</f>
        <v>12.491534999999999</v>
      </c>
      <c r="L12" s="13">
        <f>SUM(K12*13.8%)</f>
        <v>1.72383183</v>
      </c>
      <c r="M12" s="14">
        <f>SUM(G12,L12)</f>
        <v>18.590366830000001</v>
      </c>
      <c r="N12" s="15">
        <v>0.45</v>
      </c>
      <c r="O12" s="14">
        <v>0.08</v>
      </c>
      <c r="P12" s="14">
        <f>SUM(M12,N12)</f>
        <v>19.04036683</v>
      </c>
      <c r="Q12" s="16">
        <f>SUM(P12*20%)</f>
        <v>3.8080733660000003</v>
      </c>
      <c r="R12" s="14">
        <f>SUM(P12,Q12)</f>
        <v>22.848440195999999</v>
      </c>
      <c r="S12" s="34">
        <v>28.32</v>
      </c>
      <c r="T12" s="20">
        <f>SUM(S12-R12)</f>
        <v>5.4715598040000017</v>
      </c>
      <c r="U12" s="31">
        <f>SUM(T12,Q12)</f>
        <v>9.2796331700000021</v>
      </c>
      <c r="V12" s="139">
        <f>SUM(S12-P12)</f>
        <v>9.2796331700000003</v>
      </c>
      <c r="W12" s="140">
        <f>SUM(S12-R12)</f>
        <v>5.4715598040000017</v>
      </c>
      <c r="X12" s="281">
        <f>SUM(W12,W13*16)/16</f>
        <v>8.4235322917500017</v>
      </c>
      <c r="Y12" s="281">
        <f>SUM(V12,V13*16)/16</f>
        <v>12.469610243125</v>
      </c>
      <c r="AI12" s="27"/>
      <c r="AR12" s="67">
        <f>AQ11-AR11</f>
        <v>5.9441014560000021</v>
      </c>
      <c r="AS12" s="67">
        <f>AQ11-AS11</f>
        <v>9.2802928800000011</v>
      </c>
      <c r="AT12" s="18" t="s">
        <v>48</v>
      </c>
      <c r="AU12" s="6">
        <v>15.47</v>
      </c>
      <c r="AV12" s="7" t="s">
        <v>43</v>
      </c>
      <c r="AW12" s="8">
        <v>0.1207</v>
      </c>
      <c r="AX12" s="9">
        <f>SUM(AU12*12.07%)</f>
        <v>1.867229</v>
      </c>
      <c r="AY12" s="10">
        <f>SUM(AX12,AU12)</f>
        <v>17.337229000000001</v>
      </c>
      <c r="AZ12" s="10">
        <f>SUM(AY12*40)</f>
        <v>693.48916000000008</v>
      </c>
      <c r="BA12" s="11">
        <v>0.15</v>
      </c>
      <c r="BB12" s="12">
        <v>96.15</v>
      </c>
      <c r="BC12" s="12">
        <f t="shared" ref="BC12:BC13" si="5">SUM(AZ12-BB12)/40</f>
        <v>14.933479000000002</v>
      </c>
      <c r="BD12" s="13">
        <f t="shared" ref="BD12:BD13" si="6">SUM(BC12*15%)</f>
        <v>2.2400218500000002</v>
      </c>
      <c r="BE12" s="14">
        <f>SUM(AY12,BD12)</f>
        <v>19.577250850000002</v>
      </c>
      <c r="BF12" s="15">
        <v>0.45</v>
      </c>
      <c r="BG12" s="14">
        <v>0.08</v>
      </c>
      <c r="BH12" s="14">
        <f>SUM(BE12,BF12,BG12)</f>
        <v>20.10725085</v>
      </c>
      <c r="BI12" s="16">
        <f t="shared" ref="BI12:BI13" si="7">SUM(BH12*30%)</f>
        <v>6.0321752549999994</v>
      </c>
      <c r="BJ12" s="14">
        <f>SUM(BH12,BI12)</f>
        <v>26.139426104999998</v>
      </c>
      <c r="BK12" s="91">
        <f>SUM(CS9)</f>
        <v>30.019200000000001</v>
      </c>
      <c r="BL12" s="20">
        <f>SUM(BK12-BJ12)</f>
        <v>3.8797738950000031</v>
      </c>
      <c r="BM12" s="103">
        <f>SUM(BK12-BH12)</f>
        <v>9.9119491500000017</v>
      </c>
      <c r="BN12" s="106">
        <f>SUM(BK12-BH12)</f>
        <v>9.9119491500000017</v>
      </c>
      <c r="BO12" s="107">
        <f>SUM(BK12-BJ12)</f>
        <v>3.8797738950000031</v>
      </c>
      <c r="BP12" s="100"/>
      <c r="BQ12" s="151">
        <f>SUM(BQ10:BQ11)/16</f>
        <v>27.518925000000003</v>
      </c>
      <c r="BR12" s="149">
        <f>BR11/16</f>
        <v>23.441957239999994</v>
      </c>
      <c r="BS12" s="152">
        <f>BS11/16</f>
        <v>18.032274799999996</v>
      </c>
      <c r="BT12" s="67"/>
      <c r="BU12" s="282">
        <f>BS21*16</f>
        <v>172.42418640000005</v>
      </c>
      <c r="BV12" s="282">
        <f>BR21*16</f>
        <v>75.909382320000077</v>
      </c>
      <c r="BW12" s="70"/>
      <c r="BX12" s="117">
        <f>(BK12-BH12)/BK12</f>
        <v>0.33018698532938923</v>
      </c>
      <c r="BY12" s="118">
        <f>(BK12-BJ12)/BK12</f>
        <v>0.12924308092820605</v>
      </c>
      <c r="CA12" s="91">
        <v>29.88</v>
      </c>
      <c r="CB12" s="92">
        <f t="shared" ref="CB12:CB13" si="8">SUM(CA12*1.5)</f>
        <v>44.82</v>
      </c>
      <c r="CD12" s="1"/>
      <c r="CI12" s="98">
        <v>10</v>
      </c>
      <c r="CJ12" s="123">
        <f>SUM(CI12*BU12)</f>
        <v>1724.2418640000005</v>
      </c>
      <c r="CK12" s="127">
        <f>SUM(BV12*20)</f>
        <v>1518.1876464000015</v>
      </c>
    </row>
    <row r="13" spans="2:103" x14ac:dyDescent="0.35">
      <c r="B13" s="18" t="s">
        <v>47</v>
      </c>
      <c r="C13" s="6">
        <v>15.05</v>
      </c>
      <c r="D13" s="7" t="s">
        <v>43</v>
      </c>
      <c r="E13" s="8">
        <v>0.1207</v>
      </c>
      <c r="F13" s="9">
        <f>SUM(C13*12.07%)</f>
        <v>1.816535</v>
      </c>
      <c r="G13" s="10">
        <f>SUM(F13,C13)</f>
        <v>16.866534999999999</v>
      </c>
      <c r="H13" s="10">
        <f>SUM(G13*40)</f>
        <v>674.66139999999996</v>
      </c>
      <c r="I13" s="11">
        <v>0.13800000000000001</v>
      </c>
      <c r="J13" s="12">
        <v>175</v>
      </c>
      <c r="K13" s="12">
        <f t="shared" si="4"/>
        <v>12.491534999999999</v>
      </c>
      <c r="L13" s="13">
        <f>SUM(K13*13.8%)</f>
        <v>1.72383183</v>
      </c>
      <c r="M13" s="14">
        <f>SUM(G13,L13)</f>
        <v>18.590366830000001</v>
      </c>
      <c r="N13" s="15">
        <v>0.45</v>
      </c>
      <c r="O13" s="14">
        <v>0.08</v>
      </c>
      <c r="P13" s="14">
        <f>SUM(M13,N13)</f>
        <v>19.04036683</v>
      </c>
      <c r="Q13" s="16">
        <f>SUM(P13*20%)</f>
        <v>3.8080733660000003</v>
      </c>
      <c r="R13" s="14">
        <f>SUM(P13,Q13)</f>
        <v>22.848440195999999</v>
      </c>
      <c r="S13" s="34">
        <v>30.93</v>
      </c>
      <c r="T13" s="20">
        <f t="shared" ref="T13" si="9">SUM(S13-R13)</f>
        <v>8.0815598040000012</v>
      </c>
      <c r="U13" s="31">
        <f>SUM(T13,Q13)</f>
        <v>11.889633170000002</v>
      </c>
      <c r="V13" s="140">
        <f>SUM(S13-P13)</f>
        <v>11.88963317</v>
      </c>
      <c r="W13" s="140">
        <f>SUM(S13-R13)</f>
        <v>8.0815598040000012</v>
      </c>
      <c r="X13" s="281"/>
      <c r="Y13" s="281"/>
      <c r="AI13" s="27"/>
      <c r="AT13" s="18" t="s">
        <v>48</v>
      </c>
      <c r="AU13" s="6">
        <v>15.47</v>
      </c>
      <c r="AV13" s="7" t="s">
        <v>43</v>
      </c>
      <c r="AW13" s="8">
        <v>0.1207</v>
      </c>
      <c r="AX13" s="9">
        <f>SUM(AU13*12.07%)</f>
        <v>1.867229</v>
      </c>
      <c r="AY13" s="10">
        <f>SUM(AX13,AU13)</f>
        <v>17.337229000000001</v>
      </c>
      <c r="AZ13" s="10">
        <f>SUM(AY13*40)</f>
        <v>693.48916000000008</v>
      </c>
      <c r="BA13" s="11">
        <v>0.15</v>
      </c>
      <c r="BB13" s="12">
        <v>96.15</v>
      </c>
      <c r="BC13" s="12">
        <f t="shared" si="5"/>
        <v>14.933479000000002</v>
      </c>
      <c r="BD13" s="13">
        <f t="shared" si="6"/>
        <v>2.2400218500000002</v>
      </c>
      <c r="BE13" s="14">
        <f>SUM(AY13,BD13)</f>
        <v>19.577250850000002</v>
      </c>
      <c r="BF13" s="15">
        <v>0.45</v>
      </c>
      <c r="BG13" s="14">
        <v>0.08</v>
      </c>
      <c r="BH13" s="14">
        <f>SUM(BE13,BF13,BG13)</f>
        <v>20.10725085</v>
      </c>
      <c r="BI13" s="16">
        <f t="shared" si="7"/>
        <v>6.0321752549999994</v>
      </c>
      <c r="BJ13" s="14">
        <f>SUM(BH13,BI13)</f>
        <v>26.139426104999998</v>
      </c>
      <c r="BK13" s="91">
        <f>SUM(CS8)</f>
        <v>32.785800000000002</v>
      </c>
      <c r="BL13" s="20">
        <f t="shared" ref="BL13" si="10">SUM(BK13-BJ13)</f>
        <v>6.6463738950000035</v>
      </c>
      <c r="BM13" s="103">
        <f>SUM(BK13-BH13)</f>
        <v>12.678549150000002</v>
      </c>
      <c r="BN13" s="106">
        <f>SUM(BK13-BH13)</f>
        <v>12.678549150000002</v>
      </c>
      <c r="BO13" s="107">
        <f>SUM(BK13-BJ13)</f>
        <v>6.6463738950000035</v>
      </c>
      <c r="BP13" s="100"/>
      <c r="BQ13" s="88"/>
      <c r="BR13" s="149">
        <f>BQ12-BR12</f>
        <v>4.0769677600000094</v>
      </c>
      <c r="BS13" s="152">
        <f>BQ12-BS12</f>
        <v>9.4866502000000068</v>
      </c>
      <c r="BT13" s="67"/>
      <c r="BU13" s="282"/>
      <c r="BV13" s="282"/>
      <c r="BW13" s="70"/>
      <c r="BX13" s="117">
        <f>SUM(BK13-BH13)/BK13</f>
        <v>0.3867085491279762</v>
      </c>
      <c r="BY13" s="118">
        <f>(BK13-BJ13)/BK13</f>
        <v>0.20272111386636907</v>
      </c>
      <c r="CA13" s="91">
        <v>32.630000000000003</v>
      </c>
      <c r="CB13" s="92">
        <f t="shared" si="8"/>
        <v>48.945000000000007</v>
      </c>
      <c r="CD13" s="1"/>
      <c r="CI13" s="98"/>
      <c r="CJ13" s="26"/>
      <c r="CK13" s="99"/>
    </row>
    <row r="14" spans="2:103" x14ac:dyDescent="0.35">
      <c r="B14" s="19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1"/>
      <c r="U14" s="32"/>
      <c r="X14" s="141"/>
      <c r="Y14" s="141"/>
      <c r="AI14" s="27"/>
      <c r="AR14" s="144">
        <f>AR12/AQ11</f>
        <v>0.22896052601473357</v>
      </c>
      <c r="AS14" s="144">
        <f>AS12/AQ11</f>
        <v>0.35746710501227796</v>
      </c>
      <c r="AT14" s="88"/>
      <c r="BN14" s="108"/>
      <c r="BO14" s="109"/>
      <c r="BP14" s="100"/>
      <c r="BQ14" s="88"/>
      <c r="BS14" s="1"/>
      <c r="BT14"/>
      <c r="BU14" s="108"/>
      <c r="BV14" s="109"/>
      <c r="BW14" s="70"/>
      <c r="BX14" s="119"/>
      <c r="BY14" s="105"/>
      <c r="CA14" s="91"/>
      <c r="CB14" s="92"/>
      <c r="CD14" s="1"/>
      <c r="CI14" s="98"/>
      <c r="CJ14" s="26"/>
      <c r="CK14" s="99"/>
      <c r="CN14" s="238" t="s">
        <v>49</v>
      </c>
      <c r="CO14" s="239"/>
      <c r="CP14" s="239"/>
      <c r="CQ14" s="239"/>
      <c r="CR14" s="239"/>
      <c r="CS14" s="239"/>
      <c r="CT14" s="239"/>
      <c r="CU14" s="239"/>
      <c r="CV14" s="240"/>
      <c r="CW14" s="72"/>
    </row>
    <row r="15" spans="2:103" x14ac:dyDescent="0.35">
      <c r="B15" s="18" t="s">
        <v>47</v>
      </c>
      <c r="C15" s="6">
        <v>15.4</v>
      </c>
      <c r="D15" s="7" t="s">
        <v>43</v>
      </c>
      <c r="E15" s="8">
        <v>0.1207</v>
      </c>
      <c r="F15" s="9">
        <f>SUM(C15*12.07%)</f>
        <v>1.8587800000000001</v>
      </c>
      <c r="G15" s="10">
        <f>SUM(F15,C15)</f>
        <v>17.258780000000002</v>
      </c>
      <c r="H15" s="10">
        <f>SUM(G15*40)</f>
        <v>690.35120000000006</v>
      </c>
      <c r="I15" s="11">
        <v>0.13800000000000001</v>
      </c>
      <c r="J15" s="12">
        <v>175</v>
      </c>
      <c r="K15" s="12">
        <f t="shared" ref="K15:K16" si="11">SUM(H15-J15)/40</f>
        <v>12.883780000000002</v>
      </c>
      <c r="L15" s="13">
        <f>SUM(K15*13.8%)</f>
        <v>1.7779616400000005</v>
      </c>
      <c r="M15" s="14">
        <f>SUM(G15,L15)</f>
        <v>19.036741640000002</v>
      </c>
      <c r="N15" s="15">
        <v>0.45</v>
      </c>
      <c r="O15" s="14">
        <v>0.08</v>
      </c>
      <c r="P15" s="14">
        <f>SUM(M15,N15)</f>
        <v>19.486741640000002</v>
      </c>
      <c r="Q15" s="16">
        <f>SUM(P15*20%)</f>
        <v>3.8973483280000005</v>
      </c>
      <c r="R15" s="14">
        <f>SUM(P15,Q15)</f>
        <v>23.384089968000001</v>
      </c>
      <c r="S15" s="34">
        <v>28.32</v>
      </c>
      <c r="T15" s="20">
        <f>SUM(S15-R15)</f>
        <v>4.9359100319999989</v>
      </c>
      <c r="U15" s="31">
        <f>SUM(T15,Q15)</f>
        <v>8.8332583599999985</v>
      </c>
      <c r="V15" s="139">
        <f>SUM(S15-P15)</f>
        <v>8.8332583599999985</v>
      </c>
      <c r="W15" s="140">
        <f>SUM(S15-R15)</f>
        <v>4.9359100319999989</v>
      </c>
      <c r="X15" s="281">
        <f>SUM(W15,W16*16)/16</f>
        <v>7.854404408999998</v>
      </c>
      <c r="Y15" s="281">
        <f>SUM(V15,V16*16)/16</f>
        <v>11.995337007499998</v>
      </c>
      <c r="AI15" s="27"/>
      <c r="AT15" s="18" t="s">
        <v>50</v>
      </c>
      <c r="AU15" s="6">
        <v>16.170000000000002</v>
      </c>
      <c r="AV15" s="7" t="s">
        <v>43</v>
      </c>
      <c r="AW15" s="8">
        <v>0.1207</v>
      </c>
      <c r="AX15" s="9">
        <f>SUM(AU15*12.07%)</f>
        <v>1.9517190000000002</v>
      </c>
      <c r="AY15" s="10">
        <f>SUM(AX15,AU15)</f>
        <v>18.121719000000002</v>
      </c>
      <c r="AZ15" s="10">
        <f>SUM(AY15*40)</f>
        <v>724.86876000000007</v>
      </c>
      <c r="BA15" s="11">
        <v>0.15</v>
      </c>
      <c r="BB15" s="12">
        <v>96.15</v>
      </c>
      <c r="BC15" s="12">
        <f t="shared" ref="BC15:BC16" si="12">SUM(AZ15-BB15)/40</f>
        <v>15.717969000000002</v>
      </c>
      <c r="BD15" s="13">
        <f t="shared" ref="BD15" si="13">SUM(BC15*15%)</f>
        <v>2.3576953500000002</v>
      </c>
      <c r="BE15" s="14">
        <f>SUM(AY15,BD15)</f>
        <v>20.479414350000003</v>
      </c>
      <c r="BF15" s="15">
        <v>0.45</v>
      </c>
      <c r="BG15" s="14">
        <v>0.08</v>
      </c>
      <c r="BH15" s="14">
        <f t="shared" ref="BH15:BH16" si="14">SUM(BE15,BF15,BG15)</f>
        <v>21.00941435</v>
      </c>
      <c r="BI15" s="16">
        <f t="shared" ref="BI15:BI16" si="15">SUM(BH15*30%)</f>
        <v>6.3028243049999997</v>
      </c>
      <c r="BJ15" s="14">
        <f>SUM(BH15,BI15)</f>
        <v>27.312238655000002</v>
      </c>
      <c r="BK15" s="91">
        <f>SUM(CS9)</f>
        <v>30.019200000000001</v>
      </c>
      <c r="BL15" s="20">
        <f>SUM(BK15-BJ15)</f>
        <v>2.7069613449999999</v>
      </c>
      <c r="BM15" s="103">
        <f>SUM(BK15-BH15)</f>
        <v>9.0097856500000013</v>
      </c>
      <c r="BN15" s="106">
        <f>SUM(BK15-BH15)</f>
        <v>9.0097856500000013</v>
      </c>
      <c r="BO15" s="107">
        <f>SUM(BK15-BJ15)</f>
        <v>2.7069613449999999</v>
      </c>
      <c r="BP15" s="100"/>
      <c r="BQ15" s="101"/>
      <c r="BR15" s="153">
        <f>BR13/BQ12</f>
        <v>0.14815141797871861</v>
      </c>
      <c r="BS15" s="154">
        <f>BS13/BQ12</f>
        <v>0.34473185998362965</v>
      </c>
      <c r="BT15" s="144"/>
      <c r="BU15" s="282">
        <f>BS30*16</f>
        <v>157.98957040000005</v>
      </c>
      <c r="BV15" s="282">
        <f>BR30*16</f>
        <v>57.144381520000024</v>
      </c>
      <c r="BW15" s="70"/>
      <c r="BX15" s="117">
        <f>(BK15-BH15)/BK15</f>
        <v>0.30013410250772843</v>
      </c>
      <c r="BY15" s="118">
        <f>(BK15-BJ15)/BK15</f>
        <v>9.0174333260046896E-2</v>
      </c>
      <c r="CA15" s="91">
        <v>29.88</v>
      </c>
      <c r="CB15" s="92">
        <f t="shared" ref="CB15:CB16" si="16">SUM(CA15*1.5)</f>
        <v>44.82</v>
      </c>
      <c r="CD15" s="1"/>
      <c r="CI15" s="98">
        <v>10</v>
      </c>
      <c r="CJ15" s="123">
        <f>SUM(CI15*BU15)</f>
        <v>1579.8957040000005</v>
      </c>
      <c r="CK15" s="127">
        <f>SUM(BV15*20)</f>
        <v>1142.8876304000005</v>
      </c>
      <c r="CN15" s="241"/>
      <c r="CO15" s="242"/>
      <c r="CP15" s="242"/>
      <c r="CQ15" s="242"/>
      <c r="CR15" s="242"/>
      <c r="CS15" s="242"/>
      <c r="CT15" s="242"/>
      <c r="CU15" s="242"/>
      <c r="CV15" s="243"/>
      <c r="CW15" s="72"/>
    </row>
    <row r="16" spans="2:103" ht="31" x14ac:dyDescent="0.35">
      <c r="B16" s="18" t="s">
        <v>47</v>
      </c>
      <c r="C16" s="6">
        <v>15.4</v>
      </c>
      <c r="D16" s="7" t="s">
        <v>43</v>
      </c>
      <c r="E16" s="8">
        <v>0.1207</v>
      </c>
      <c r="F16" s="9">
        <f>SUM(C16*12.07%)</f>
        <v>1.8587800000000001</v>
      </c>
      <c r="G16" s="10">
        <f>SUM(F16,C16)</f>
        <v>17.258780000000002</v>
      </c>
      <c r="H16" s="10">
        <f>SUM(G16*40)</f>
        <v>690.35120000000006</v>
      </c>
      <c r="I16" s="11">
        <v>0.13800000000000001</v>
      </c>
      <c r="J16" s="12">
        <v>175</v>
      </c>
      <c r="K16" s="12">
        <f t="shared" si="11"/>
        <v>12.883780000000002</v>
      </c>
      <c r="L16" s="13">
        <f>SUM(K16*13.8%)</f>
        <v>1.7779616400000005</v>
      </c>
      <c r="M16" s="14">
        <f>SUM(G16,L16)</f>
        <v>19.036741640000002</v>
      </c>
      <c r="N16" s="15">
        <v>0.45</v>
      </c>
      <c r="O16" s="14">
        <v>0.08</v>
      </c>
      <c r="P16" s="14">
        <f>SUM(M16,N16)</f>
        <v>19.486741640000002</v>
      </c>
      <c r="Q16" s="16">
        <f>SUM(P16*20%)</f>
        <v>3.8973483280000005</v>
      </c>
      <c r="R16" s="14">
        <f>SUM(P16,Q16)</f>
        <v>23.384089968000001</v>
      </c>
      <c r="S16" s="34">
        <v>30.93</v>
      </c>
      <c r="T16" s="20">
        <f t="shared" ref="T16" si="17">SUM(S16-R16)</f>
        <v>7.5459100319999983</v>
      </c>
      <c r="U16" s="31">
        <f>SUM(T16,Q16)</f>
        <v>11.443258359999998</v>
      </c>
      <c r="V16" s="140">
        <f>SUM(S16-P16)</f>
        <v>11.443258359999998</v>
      </c>
      <c r="W16" s="140">
        <f>SUM(S16-R16)</f>
        <v>7.5459100319999983</v>
      </c>
      <c r="X16" s="281"/>
      <c r="Y16" s="281"/>
      <c r="AI16" s="27"/>
      <c r="AT16" s="18" t="s">
        <v>50</v>
      </c>
      <c r="AU16" s="6">
        <v>16.170000000000002</v>
      </c>
      <c r="AV16" s="7" t="s">
        <v>43</v>
      </c>
      <c r="AW16" s="8">
        <v>0.1207</v>
      </c>
      <c r="AX16" s="9">
        <f>SUM(AU16*12.07%)</f>
        <v>1.9517190000000002</v>
      </c>
      <c r="AY16" s="10">
        <f>SUM(AX16,AU16)</f>
        <v>18.121719000000002</v>
      </c>
      <c r="AZ16" s="10">
        <f>SUM(AY16*40)</f>
        <v>724.86876000000007</v>
      </c>
      <c r="BA16" s="11">
        <v>0.15</v>
      </c>
      <c r="BB16" s="12">
        <v>96.15</v>
      </c>
      <c r="BC16" s="12">
        <f t="shared" si="12"/>
        <v>15.717969000000002</v>
      </c>
      <c r="BD16" s="13">
        <f>SUM(BC16*15%)</f>
        <v>2.3576953500000002</v>
      </c>
      <c r="BE16" s="14">
        <f>SUM(AY16,BD16)</f>
        <v>20.479414350000003</v>
      </c>
      <c r="BF16" s="15">
        <v>0.45</v>
      </c>
      <c r="BG16" s="14">
        <v>0.08</v>
      </c>
      <c r="BH16" s="14">
        <f t="shared" si="14"/>
        <v>21.00941435</v>
      </c>
      <c r="BI16" s="16">
        <f t="shared" si="15"/>
        <v>6.3028243049999997</v>
      </c>
      <c r="BJ16" s="14">
        <f>SUM(BH16,BI16)</f>
        <v>27.312238655000002</v>
      </c>
      <c r="BK16" s="91">
        <f>SUM(CS8)</f>
        <v>32.785800000000002</v>
      </c>
      <c r="BL16" s="20">
        <f t="shared" ref="BL16" si="18">SUM(BK16-BJ16)</f>
        <v>5.4735613450000002</v>
      </c>
      <c r="BM16" s="103">
        <f>SUM(BK16-BH16)</f>
        <v>11.776385650000002</v>
      </c>
      <c r="BN16" s="106">
        <f>SUM(BK16-BH16)</f>
        <v>11.776385650000002</v>
      </c>
      <c r="BO16" s="107">
        <f>SUM(BK16-BJ16)</f>
        <v>5.4735613450000002</v>
      </c>
      <c r="BP16" s="100"/>
      <c r="BQ16" s="251" t="s">
        <v>51</v>
      </c>
      <c r="BR16" s="252"/>
      <c r="BS16" s="253"/>
      <c r="BT16" s="100"/>
      <c r="BU16" s="282"/>
      <c r="BV16" s="282"/>
      <c r="BW16" s="70"/>
      <c r="BX16" s="117">
        <f>(BK16-BH16)/BK16</f>
        <v>0.35919165156866695</v>
      </c>
      <c r="BY16" s="118">
        <f>(BK16-BJ16)/BK16</f>
        <v>0.166949147039267</v>
      </c>
      <c r="CA16" s="91">
        <v>32.630000000000003</v>
      </c>
      <c r="CB16" s="92">
        <f t="shared" si="16"/>
        <v>48.945000000000007</v>
      </c>
      <c r="CD16" s="1"/>
      <c r="CI16" s="98"/>
      <c r="CJ16" s="26"/>
      <c r="CK16" s="99"/>
      <c r="CN16" s="84" t="s">
        <v>7</v>
      </c>
      <c r="CO16" s="85" t="s">
        <v>52</v>
      </c>
      <c r="CP16" s="85" t="s">
        <v>53</v>
      </c>
      <c r="CQ16" s="85" t="s">
        <v>54</v>
      </c>
      <c r="CR16" s="85" t="s">
        <v>55</v>
      </c>
      <c r="CS16" s="86" t="s">
        <v>56</v>
      </c>
      <c r="CT16" s="85"/>
      <c r="CU16" s="85" t="s">
        <v>57</v>
      </c>
      <c r="CV16" s="87"/>
      <c r="CW16" s="72"/>
    </row>
    <row r="17" spans="2:101" x14ac:dyDescent="0.35">
      <c r="B17" s="19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1"/>
      <c r="U17" s="32"/>
      <c r="X17" s="141"/>
      <c r="Y17" s="141"/>
      <c r="AI17" s="27"/>
      <c r="AT17" s="88"/>
      <c r="BN17" s="108"/>
      <c r="BO17" s="109"/>
      <c r="BP17" s="100"/>
      <c r="BQ17" s="145" t="s">
        <v>51</v>
      </c>
      <c r="BR17" s="146" t="s">
        <v>38</v>
      </c>
      <c r="BS17" s="150" t="s">
        <v>39</v>
      </c>
      <c r="BT17" s="100"/>
      <c r="BU17" s="108"/>
      <c r="BV17" s="109"/>
      <c r="BW17" s="70"/>
      <c r="BX17" s="119"/>
      <c r="BY17" s="105"/>
      <c r="CA17" s="91"/>
      <c r="CB17" s="92"/>
      <c r="CD17" s="1"/>
      <c r="CI17" s="98"/>
      <c r="CJ17" s="26"/>
      <c r="CK17" s="99"/>
      <c r="CN17" s="77" t="s">
        <v>40</v>
      </c>
      <c r="CO17" s="73">
        <v>13.2</v>
      </c>
      <c r="CP17" s="73">
        <f>SUM(CO17*5%)</f>
        <v>0.66</v>
      </c>
      <c r="CQ17" s="73">
        <f>SUM(CP17,CO17)</f>
        <v>13.86</v>
      </c>
      <c r="CR17" s="72">
        <v>1950</v>
      </c>
      <c r="CS17" s="73">
        <f>SUM(1950*CQ17)</f>
        <v>27027</v>
      </c>
      <c r="CT17" s="72"/>
      <c r="CU17" s="72"/>
      <c r="CV17" s="76"/>
      <c r="CW17" s="72"/>
    </row>
    <row r="18" spans="2:101" x14ac:dyDescent="0.35">
      <c r="B18" s="18" t="s">
        <v>58</v>
      </c>
      <c r="C18" s="6">
        <v>15.95</v>
      </c>
      <c r="D18" s="7" t="s">
        <v>43</v>
      </c>
      <c r="E18" s="8">
        <v>0.1207</v>
      </c>
      <c r="F18" s="9">
        <f>SUM(C18*12.07%)</f>
        <v>1.925165</v>
      </c>
      <c r="G18" s="10">
        <f>SUM(F18,C18)</f>
        <v>17.875164999999999</v>
      </c>
      <c r="H18" s="10">
        <f>SUM(G18*40)</f>
        <v>715.00659999999993</v>
      </c>
      <c r="I18" s="11">
        <v>0.13800000000000001</v>
      </c>
      <c r="J18" s="12">
        <v>175</v>
      </c>
      <c r="K18" s="12">
        <f t="shared" ref="K18:K19" si="19">SUM(H18-J18)/40</f>
        <v>13.500164999999999</v>
      </c>
      <c r="L18" s="13">
        <f>SUM(K18*13.8%)</f>
        <v>1.8630227699999999</v>
      </c>
      <c r="M18" s="14">
        <f>SUM(G18,L18)</f>
        <v>19.73818777</v>
      </c>
      <c r="N18" s="15">
        <v>0.45</v>
      </c>
      <c r="O18" s="14">
        <v>0.08</v>
      </c>
      <c r="P18" s="14">
        <f>SUM(M18,N18)</f>
        <v>20.188187769999999</v>
      </c>
      <c r="Q18" s="16">
        <f>SUM(P18*20%)</f>
        <v>4.0376375539999998</v>
      </c>
      <c r="R18" s="14">
        <f>SUM(P18,Q18)</f>
        <v>24.225825323999999</v>
      </c>
      <c r="S18" s="34">
        <v>29.22</v>
      </c>
      <c r="T18" s="20">
        <f>SUM(S18-R18)</f>
        <v>4.9941746760000001</v>
      </c>
      <c r="U18" s="31">
        <f>SUM(T18,Q18)</f>
        <v>9.0318122299999999</v>
      </c>
      <c r="V18" s="139">
        <f>SUM(S18-P18)</f>
        <v>9.0318122299999999</v>
      </c>
      <c r="W18" s="140">
        <f>SUM(S18-R18)</f>
        <v>4.9941746760000001</v>
      </c>
      <c r="X18" s="281">
        <f>SUM(W18,W19*16)/16</f>
        <v>8.0563105932500001</v>
      </c>
      <c r="Y18" s="281">
        <f>SUM(V18,V19*16)/16</f>
        <v>12.346300494375001</v>
      </c>
      <c r="AI18" s="27"/>
      <c r="AT18" s="18" t="s">
        <v>59</v>
      </c>
      <c r="AU18" s="6">
        <v>16.75</v>
      </c>
      <c r="AV18" s="7" t="s">
        <v>43</v>
      </c>
      <c r="AW18" s="8">
        <v>0.1207</v>
      </c>
      <c r="AX18" s="9">
        <f>SUM(AU18*12.07%)</f>
        <v>2.021725</v>
      </c>
      <c r="AY18" s="10">
        <f>SUM(AX18,AU18)</f>
        <v>18.771725</v>
      </c>
      <c r="AZ18" s="10">
        <f>SUM(AY18*40)</f>
        <v>750.86900000000003</v>
      </c>
      <c r="BA18" s="11">
        <v>0.15</v>
      </c>
      <c r="BB18" s="12">
        <v>96.15</v>
      </c>
      <c r="BC18" s="12">
        <f t="shared" ref="BC18" si="20">SUM(AZ18-BB18)/40</f>
        <v>16.367975000000001</v>
      </c>
      <c r="BD18" s="13">
        <f t="shared" ref="BD18" si="21">SUM(BC18*15%)</f>
        <v>2.4551962500000002</v>
      </c>
      <c r="BE18" s="14">
        <f>SUM(AY18,BD18)</f>
        <v>21.22692125</v>
      </c>
      <c r="BF18" s="15">
        <v>0.45</v>
      </c>
      <c r="BG18" s="14">
        <v>0.08</v>
      </c>
      <c r="BH18" s="14">
        <f>SUM(BE18,BF18,BG18)</f>
        <v>21.756921249999998</v>
      </c>
      <c r="BI18" s="16">
        <f t="shared" ref="BI18:BI19" si="22">SUM(BH18*30%)</f>
        <v>6.5270763749999992</v>
      </c>
      <c r="BJ18" s="14">
        <f>SUM(BH18,BI18)</f>
        <v>28.283997624999998</v>
      </c>
      <c r="BK18" s="91">
        <f>SUM(CS7)</f>
        <v>30.973199999999999</v>
      </c>
      <c r="BL18" s="20">
        <f>SUM(BK18-BJ18)</f>
        <v>2.6892023750000007</v>
      </c>
      <c r="BM18" s="103">
        <f>SUM(BK18-BH18)</f>
        <v>9.2162787500000007</v>
      </c>
      <c r="BN18" s="106">
        <f>SUM(BK18-BH18)</f>
        <v>9.2162787500000007</v>
      </c>
      <c r="BO18" s="107">
        <f>SUM(BK18-BJ18)</f>
        <v>2.6892023750000007</v>
      </c>
      <c r="BP18" s="100"/>
      <c r="BQ18" s="151">
        <f>BK12*11</f>
        <v>330.21120000000002</v>
      </c>
      <c r="BR18" s="149"/>
      <c r="BS18" s="152"/>
      <c r="BT18" s="100"/>
      <c r="BU18" s="282">
        <f>BS40*16</f>
        <v>162.03546</v>
      </c>
      <c r="BV18" s="282">
        <f>BR40*16</f>
        <v>57.602238</v>
      </c>
      <c r="BW18" s="70"/>
      <c r="BX18" s="117">
        <f>(BK18-BH18)/BK18</f>
        <v>0.29755655695891936</v>
      </c>
      <c r="BY18" s="118">
        <f>(BK18-BJ18)/BK18</f>
        <v>8.6823524046595144E-2</v>
      </c>
      <c r="CA18" s="91">
        <v>30.83</v>
      </c>
      <c r="CB18" s="92">
        <f t="shared" ref="CB18:CB19" si="23">SUM(CA18*1.5)</f>
        <v>46.244999999999997</v>
      </c>
      <c r="CD18" s="1"/>
      <c r="CI18" s="98">
        <v>10</v>
      </c>
      <c r="CJ18" s="123">
        <f>SUM(CI18*BU18)</f>
        <v>1620.3546000000001</v>
      </c>
      <c r="CK18" s="127">
        <f>SUM(BV18*20)</f>
        <v>1152.04476</v>
      </c>
      <c r="CN18" s="77" t="s">
        <v>51</v>
      </c>
      <c r="CO18" s="73">
        <v>15.05</v>
      </c>
      <c r="CP18" s="73">
        <f t="shared" ref="CP18:CP24" si="24">SUM(CO18*5%)</f>
        <v>0.75250000000000006</v>
      </c>
      <c r="CQ18" s="73">
        <v>15.47</v>
      </c>
      <c r="CR18" s="72">
        <v>1950</v>
      </c>
      <c r="CS18" s="73">
        <f t="shared" ref="CS18:CS24" si="25">SUM(1950*CQ18)</f>
        <v>30166.5</v>
      </c>
      <c r="CT18" s="72"/>
      <c r="CU18" s="73">
        <f>SUM(CQ18-CQ17)</f>
        <v>1.6100000000000012</v>
      </c>
      <c r="CV18" s="76"/>
      <c r="CW18" s="72"/>
    </row>
    <row r="19" spans="2:101" x14ac:dyDescent="0.35">
      <c r="B19" s="18" t="s">
        <v>58</v>
      </c>
      <c r="C19" s="6">
        <v>15.95</v>
      </c>
      <c r="D19" s="7" t="s">
        <v>43</v>
      </c>
      <c r="E19" s="8">
        <v>0.1207</v>
      </c>
      <c r="F19" s="9">
        <f>SUM(C19*12.07%)</f>
        <v>1.925165</v>
      </c>
      <c r="G19" s="10">
        <f>SUM(F19,C19)</f>
        <v>17.875164999999999</v>
      </c>
      <c r="H19" s="10">
        <f>SUM(G19*40)</f>
        <v>715.00659999999993</v>
      </c>
      <c r="I19" s="11">
        <v>0.13800000000000001</v>
      </c>
      <c r="J19" s="12">
        <v>175</v>
      </c>
      <c r="K19" s="12">
        <f t="shared" si="19"/>
        <v>13.500164999999999</v>
      </c>
      <c r="L19" s="13">
        <f>SUM(K19*13.8%)</f>
        <v>1.8630227699999999</v>
      </c>
      <c r="M19" s="14">
        <f>SUM(G19,L19)</f>
        <v>19.73818777</v>
      </c>
      <c r="N19" s="15">
        <v>0.45</v>
      </c>
      <c r="O19" s="14">
        <v>0.08</v>
      </c>
      <c r="P19" s="14">
        <f>SUM(M19,N19)</f>
        <v>20.188187769999999</v>
      </c>
      <c r="Q19" s="16">
        <f>SUM(P19*20%)</f>
        <v>4.0376375539999998</v>
      </c>
      <c r="R19" s="14">
        <f>SUM(P19,Q19)</f>
        <v>24.225825323999999</v>
      </c>
      <c r="S19" s="34">
        <v>31.97</v>
      </c>
      <c r="T19" s="20">
        <f t="shared" ref="T19" si="26">SUM(S19-R19)</f>
        <v>7.7441746760000001</v>
      </c>
      <c r="U19" s="31">
        <f>SUM(T19,Q19)</f>
        <v>11.78181223</v>
      </c>
      <c r="V19" s="140">
        <f>SUM(S19-P19)</f>
        <v>11.78181223</v>
      </c>
      <c r="W19" s="140">
        <f>SUM(S19-R19)</f>
        <v>7.7441746760000001</v>
      </c>
      <c r="X19" s="281"/>
      <c r="Y19" s="281"/>
      <c r="AI19" s="27"/>
      <c r="AT19" s="18" t="s">
        <v>59</v>
      </c>
      <c r="AU19" s="6">
        <v>16.75</v>
      </c>
      <c r="AV19" s="7" t="s">
        <v>43</v>
      </c>
      <c r="AW19" s="8">
        <v>0.1207</v>
      </c>
      <c r="AX19" s="9">
        <f>SUM(AU19*12.07%)</f>
        <v>2.021725</v>
      </c>
      <c r="AY19" s="10">
        <f>SUM(AX19,AU19)</f>
        <v>18.771725</v>
      </c>
      <c r="AZ19" s="10">
        <f>SUM(AY19*40)</f>
        <v>750.86900000000003</v>
      </c>
      <c r="BA19" s="11">
        <v>0.15</v>
      </c>
      <c r="BB19" s="12">
        <v>96.15</v>
      </c>
      <c r="BC19" s="12">
        <f>SUM(AZ19-BB19)/40</f>
        <v>16.367975000000001</v>
      </c>
      <c r="BD19" s="13">
        <f>SUM(BC19*15%)</f>
        <v>2.4551962500000002</v>
      </c>
      <c r="BE19" s="14">
        <f>SUM(AY19,BD19)</f>
        <v>21.22692125</v>
      </c>
      <c r="BF19" s="15">
        <v>0.45</v>
      </c>
      <c r="BG19" s="14">
        <v>0.08</v>
      </c>
      <c r="BH19" s="14">
        <f>SUM(BE19,BF19,BG19)</f>
        <v>21.756921249999998</v>
      </c>
      <c r="BI19" s="16">
        <f t="shared" si="22"/>
        <v>6.5270763749999992</v>
      </c>
      <c r="BJ19" s="14">
        <f>SUM(BH19,BI19)</f>
        <v>28.283997624999998</v>
      </c>
      <c r="BK19" s="91">
        <f>SUM(CS6)</f>
        <v>33.888199999999998</v>
      </c>
      <c r="BL19" s="20">
        <f t="shared" ref="BL19" si="27">SUM(BK19-BJ19)</f>
        <v>5.6042023749999998</v>
      </c>
      <c r="BM19" s="103">
        <f>SUM(BK19-BH19)</f>
        <v>12.13127875</v>
      </c>
      <c r="BN19" s="106">
        <f>SUM(BK19-BH19)</f>
        <v>12.13127875</v>
      </c>
      <c r="BO19" s="107">
        <f>SUM(BK19-BJ19)</f>
        <v>5.6042023749999998</v>
      </c>
      <c r="BP19" s="100"/>
      <c r="BQ19" s="151">
        <f>BK13*5</f>
        <v>163.929</v>
      </c>
      <c r="BR19" s="149">
        <f>BJ12*16</f>
        <v>418.23081767999997</v>
      </c>
      <c r="BS19" s="152">
        <f>BH12*16</f>
        <v>321.7160136</v>
      </c>
      <c r="BT19" s="100"/>
      <c r="BU19" s="282"/>
      <c r="BV19" s="282"/>
      <c r="BW19" s="70"/>
      <c r="BX19" s="117">
        <f>SUM(BK19-BH19)/BK19</f>
        <v>0.35797943679510863</v>
      </c>
      <c r="BY19" s="118">
        <f>(BK19-BJ19)/BK19</f>
        <v>0.1653732678336412</v>
      </c>
      <c r="CA19" s="91">
        <v>33.729999999999997</v>
      </c>
      <c r="CB19" s="92">
        <f t="shared" si="23"/>
        <v>50.594999999999999</v>
      </c>
      <c r="CD19" s="1"/>
      <c r="CI19" s="98"/>
      <c r="CJ19" s="26"/>
      <c r="CK19" s="99"/>
      <c r="CN19" s="77" t="s">
        <v>60</v>
      </c>
      <c r="CO19" s="73">
        <v>15.4</v>
      </c>
      <c r="CP19" s="73">
        <f t="shared" si="24"/>
        <v>0.77</v>
      </c>
      <c r="CQ19" s="73">
        <f t="shared" ref="CQ19:CQ24" si="28">SUM(CP19,CO19)</f>
        <v>16.170000000000002</v>
      </c>
      <c r="CR19" s="72">
        <v>1950</v>
      </c>
      <c r="CS19" s="73">
        <f t="shared" si="25"/>
        <v>31531.500000000004</v>
      </c>
      <c r="CT19" s="72"/>
      <c r="CU19" s="73">
        <f>SUM(CQ19-CQ17)</f>
        <v>2.3100000000000023</v>
      </c>
      <c r="CV19" s="78">
        <f>SUM(CQ19-CQ18)</f>
        <v>0.70000000000000107</v>
      </c>
      <c r="CW19" s="72"/>
    </row>
    <row r="20" spans="2:101" x14ac:dyDescent="0.35"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1"/>
      <c r="U20" s="32"/>
      <c r="X20" s="141"/>
      <c r="Y20" s="141"/>
      <c r="AI20" s="27"/>
      <c r="AT20" s="88"/>
      <c r="BN20" s="108"/>
      <c r="BO20" s="109"/>
      <c r="BP20" s="100"/>
      <c r="BQ20" s="151">
        <f>SUM(BQ18:BQ19)/16</f>
        <v>30.883762500000003</v>
      </c>
      <c r="BR20" s="149">
        <f>BR19/16</f>
        <v>26.139426104999998</v>
      </c>
      <c r="BS20" s="152">
        <f>BS19/16</f>
        <v>20.10725085</v>
      </c>
      <c r="BT20" s="100"/>
      <c r="BU20" s="108"/>
      <c r="BV20" s="109"/>
      <c r="BW20" s="70"/>
      <c r="BX20" s="119"/>
      <c r="BY20" s="105"/>
      <c r="CA20" s="91"/>
      <c r="CB20" s="92"/>
      <c r="CD20" s="1"/>
      <c r="CI20" s="98"/>
      <c r="CJ20" s="26"/>
      <c r="CK20" s="99"/>
      <c r="CN20" s="77" t="s">
        <v>59</v>
      </c>
      <c r="CO20" s="73">
        <v>15.95</v>
      </c>
      <c r="CP20" s="73">
        <f t="shared" si="24"/>
        <v>0.79749999999999999</v>
      </c>
      <c r="CQ20" s="73">
        <f t="shared" si="28"/>
        <v>16.747499999999999</v>
      </c>
      <c r="CR20" s="72">
        <v>1950</v>
      </c>
      <c r="CS20" s="73">
        <f t="shared" si="25"/>
        <v>32657.624999999996</v>
      </c>
      <c r="CT20" s="72"/>
      <c r="CU20" s="73">
        <f>SUM(CQ20-CQ19)</f>
        <v>0.57749999999999702</v>
      </c>
      <c r="CV20" s="76"/>
      <c r="CW20" s="72"/>
    </row>
    <row r="21" spans="2:101" x14ac:dyDescent="0.35">
      <c r="B21" s="18" t="s">
        <v>58</v>
      </c>
      <c r="C21" s="6">
        <v>16.25</v>
      </c>
      <c r="D21" s="7" t="s">
        <v>43</v>
      </c>
      <c r="E21" s="8">
        <v>0.1207</v>
      </c>
      <c r="F21" s="9">
        <f>SUM(C21*12.07%)</f>
        <v>1.9613750000000001</v>
      </c>
      <c r="G21" s="10">
        <f>SUM(F21,C21)</f>
        <v>18.211375</v>
      </c>
      <c r="H21" s="10">
        <f>SUM(G21*40)</f>
        <v>728.45500000000004</v>
      </c>
      <c r="I21" s="11">
        <v>0.13800000000000001</v>
      </c>
      <c r="J21" s="12">
        <v>175</v>
      </c>
      <c r="K21" s="12">
        <f t="shared" ref="K21:K22" si="29">SUM(H21-J21)/40</f>
        <v>13.836375</v>
      </c>
      <c r="L21" s="13">
        <f>SUM(K21*13.8%)</f>
        <v>1.9094197500000003</v>
      </c>
      <c r="M21" s="14">
        <f>SUM(G21,L21)</f>
        <v>20.120794750000002</v>
      </c>
      <c r="N21" s="15">
        <v>0.45</v>
      </c>
      <c r="O21" s="14">
        <v>0.08</v>
      </c>
      <c r="P21" s="14">
        <f>SUM(M21,N21)</f>
        <v>20.570794750000001</v>
      </c>
      <c r="Q21" s="16">
        <f>SUM(P21*20%)</f>
        <v>4.1141589500000002</v>
      </c>
      <c r="R21" s="14">
        <f>SUM(P21,Q21)</f>
        <v>24.684953700000001</v>
      </c>
      <c r="S21" s="34">
        <v>29.22</v>
      </c>
      <c r="T21" s="20">
        <f>SUM(S21-R21)</f>
        <v>4.5350462999999976</v>
      </c>
      <c r="U21" s="31">
        <f>SUM(T21,Q21)</f>
        <v>8.6492052499999978</v>
      </c>
      <c r="V21" s="139">
        <f>SUM(S21-P21)</f>
        <v>8.6492052499999978</v>
      </c>
      <c r="W21" s="140">
        <f>SUM(S21-R21)</f>
        <v>4.5350462999999976</v>
      </c>
      <c r="X21" s="281">
        <f>SUM(W21,W22*16)/16</f>
        <v>7.5684866937499979</v>
      </c>
      <c r="Y21" s="281">
        <f>SUM(V21,V22*16)/16</f>
        <v>11.939780578124997</v>
      </c>
      <c r="AI21" s="27"/>
      <c r="AM21" s="68"/>
      <c r="AN21" s="69">
        <v>0.1</v>
      </c>
      <c r="AO21" s="68"/>
      <c r="AT21" s="18" t="s">
        <v>61</v>
      </c>
      <c r="AU21" s="6">
        <v>17.059999999999999</v>
      </c>
      <c r="AV21" s="7" t="s">
        <v>43</v>
      </c>
      <c r="AW21" s="8">
        <v>0.1207</v>
      </c>
      <c r="AX21" s="9">
        <f>SUM(AU21*12.07%)</f>
        <v>2.059142</v>
      </c>
      <c r="AY21" s="10">
        <f>SUM(AX21,AU21)</f>
        <v>19.119142</v>
      </c>
      <c r="AZ21" s="10">
        <f>SUM(AY21*40)</f>
        <v>764.76567999999997</v>
      </c>
      <c r="BA21" s="11">
        <v>0.15</v>
      </c>
      <c r="BB21" s="12">
        <v>96.15</v>
      </c>
      <c r="BC21" s="12">
        <f t="shared" ref="BC21:BC22" si="30">SUM(AZ21-BB21)/40</f>
        <v>16.715392000000001</v>
      </c>
      <c r="BD21" s="13">
        <f t="shared" ref="BD21:BD22" si="31">SUM(BC21*15%)</f>
        <v>2.5073088000000001</v>
      </c>
      <c r="BE21" s="14">
        <f>SUM(AY21,BD21)</f>
        <v>21.626450800000001</v>
      </c>
      <c r="BF21" s="15">
        <v>0.45</v>
      </c>
      <c r="BG21" s="14">
        <v>0.08</v>
      </c>
      <c r="BH21" s="14">
        <f t="shared" ref="BH21:BH22" si="32">SUM(BE21,BF21,BG21)</f>
        <v>22.156450799999998</v>
      </c>
      <c r="BI21" s="16">
        <f t="shared" ref="BI21:BI22" si="33">SUM(BH21*30%)</f>
        <v>6.6469352399999995</v>
      </c>
      <c r="BJ21" s="14">
        <f>SUM(BH21,BI21)</f>
        <v>28.803386039999999</v>
      </c>
      <c r="BK21" s="91">
        <f>SUM(CS7)</f>
        <v>30.973199999999999</v>
      </c>
      <c r="BL21" s="20">
        <f>SUM(BK21-BJ21)</f>
        <v>2.169813959999999</v>
      </c>
      <c r="BM21" s="103">
        <f>SUM(BK21-BH21)</f>
        <v>8.8167492000000003</v>
      </c>
      <c r="BN21" s="106">
        <f>SUM(BK21-BH21)</f>
        <v>8.8167492000000003</v>
      </c>
      <c r="BO21" s="107">
        <f>SUM(BK21-BJ21)</f>
        <v>2.169813959999999</v>
      </c>
      <c r="BP21" s="100"/>
      <c r="BQ21" s="88"/>
      <c r="BR21" s="149">
        <f>BQ20-BR20</f>
        <v>4.7443363950000048</v>
      </c>
      <c r="BS21" s="152">
        <f>BQ20-BS20</f>
        <v>10.776511650000003</v>
      </c>
      <c r="BT21" s="100"/>
      <c r="BU21" s="283">
        <f>BS50*16</f>
        <v>155.64298719999999</v>
      </c>
      <c r="BV21" s="285">
        <f>BR50*16</f>
        <v>49.292023359999973</v>
      </c>
      <c r="BW21" s="70"/>
      <c r="BX21" s="117">
        <f>(BK21-BH21)/BK21</f>
        <v>0.28465735539111237</v>
      </c>
      <c r="BY21" s="118">
        <f>(BK21-BJ21)/BK21</f>
        <v>7.0054562008445981E-2</v>
      </c>
      <c r="CA21" s="91">
        <v>30.83</v>
      </c>
      <c r="CB21" s="92">
        <f t="shared" ref="CB21:CB22" si="34">SUM(CA21*1.5)</f>
        <v>46.244999999999997</v>
      </c>
      <c r="CD21" s="1"/>
      <c r="CI21" s="98">
        <v>10</v>
      </c>
      <c r="CJ21" s="123">
        <f>SUM(CI21*BU21)</f>
        <v>1556.4298719999999</v>
      </c>
      <c r="CK21" s="127">
        <f>SUM(BV21*20)</f>
        <v>985.84046719999947</v>
      </c>
      <c r="CN21" s="77" t="s">
        <v>61</v>
      </c>
      <c r="CO21" s="73">
        <v>16.25</v>
      </c>
      <c r="CP21" s="73">
        <f t="shared" si="24"/>
        <v>0.8125</v>
      </c>
      <c r="CQ21" s="73">
        <f t="shared" si="28"/>
        <v>17.0625</v>
      </c>
      <c r="CR21" s="72">
        <v>1950</v>
      </c>
      <c r="CS21" s="73">
        <f t="shared" si="25"/>
        <v>33271.875</v>
      </c>
      <c r="CT21" s="72"/>
      <c r="CU21" s="73">
        <f>SUM(CQ21-CQ18)</f>
        <v>1.5924999999999994</v>
      </c>
      <c r="CV21" s="78">
        <f>SUM(CQ21-CQ19)</f>
        <v>0.89249999999999829</v>
      </c>
      <c r="CW21" s="72"/>
    </row>
    <row r="22" spans="2:101" ht="18.75" customHeight="1" x14ac:dyDescent="0.35">
      <c r="B22" s="18" t="s">
        <v>58</v>
      </c>
      <c r="C22" s="6">
        <v>16.25</v>
      </c>
      <c r="D22" s="7" t="s">
        <v>43</v>
      </c>
      <c r="E22" s="8">
        <v>0.1207</v>
      </c>
      <c r="F22" s="9">
        <f>SUM(C22*12.07%)</f>
        <v>1.9613750000000001</v>
      </c>
      <c r="G22" s="10">
        <f>SUM(F22,C22)</f>
        <v>18.211375</v>
      </c>
      <c r="H22" s="10">
        <f>SUM(G22*40)</f>
        <v>728.45500000000004</v>
      </c>
      <c r="I22" s="11">
        <v>0.13800000000000001</v>
      </c>
      <c r="J22" s="12">
        <v>175</v>
      </c>
      <c r="K22" s="12">
        <f t="shared" si="29"/>
        <v>13.836375</v>
      </c>
      <c r="L22" s="13">
        <f>SUM(K22*13.8%)</f>
        <v>1.9094197500000003</v>
      </c>
      <c r="M22" s="14">
        <f>SUM(G22,L22)</f>
        <v>20.120794750000002</v>
      </c>
      <c r="N22" s="15">
        <v>0.45</v>
      </c>
      <c r="O22" s="14">
        <v>0.08</v>
      </c>
      <c r="P22" s="14">
        <f>SUM(M22,N22)</f>
        <v>20.570794750000001</v>
      </c>
      <c r="Q22" s="16">
        <f>SUM(P22*20%)</f>
        <v>4.1141589500000002</v>
      </c>
      <c r="R22" s="14">
        <f>SUM(P22,Q22)</f>
        <v>24.684953700000001</v>
      </c>
      <c r="S22" s="34">
        <v>31.97</v>
      </c>
      <c r="T22" s="20">
        <f t="shared" ref="T22" si="35">SUM(S22-R22)</f>
        <v>7.2850462999999976</v>
      </c>
      <c r="U22" s="31">
        <f>SUM(T22,Q22)</f>
        <v>11.399205249999998</v>
      </c>
      <c r="V22" s="140">
        <f>SUM(S22-P22)</f>
        <v>11.399205249999998</v>
      </c>
      <c r="W22" s="140">
        <f>SUM(S22-R22)</f>
        <v>7.2850462999999976</v>
      </c>
      <c r="X22" s="281"/>
      <c r="Y22" s="281"/>
      <c r="AI22" s="27"/>
      <c r="AM22" s="68"/>
      <c r="AN22" s="68"/>
      <c r="AO22" s="68"/>
      <c r="AT22" s="18" t="s">
        <v>61</v>
      </c>
      <c r="AU22" s="6">
        <v>17.059999999999999</v>
      </c>
      <c r="AV22" s="7" t="s">
        <v>43</v>
      </c>
      <c r="AW22" s="8">
        <v>0.1207</v>
      </c>
      <c r="AX22" s="9">
        <f>SUM(AU22*12.07%)</f>
        <v>2.059142</v>
      </c>
      <c r="AY22" s="10">
        <f>SUM(AX22,AU22)</f>
        <v>19.119142</v>
      </c>
      <c r="AZ22" s="10">
        <f>SUM(AY22*40)</f>
        <v>764.76567999999997</v>
      </c>
      <c r="BA22" s="11">
        <v>0.15</v>
      </c>
      <c r="BB22" s="12">
        <v>96.15</v>
      </c>
      <c r="BC22" s="12">
        <f t="shared" si="30"/>
        <v>16.715392000000001</v>
      </c>
      <c r="BD22" s="13">
        <f t="shared" si="31"/>
        <v>2.5073088000000001</v>
      </c>
      <c r="BE22" s="14">
        <f>SUM(AY22,BD22)</f>
        <v>21.626450800000001</v>
      </c>
      <c r="BF22" s="15">
        <v>0.45</v>
      </c>
      <c r="BG22" s="14">
        <v>0.08</v>
      </c>
      <c r="BH22" s="14">
        <f t="shared" si="32"/>
        <v>22.156450799999998</v>
      </c>
      <c r="BI22" s="16">
        <f t="shared" si="33"/>
        <v>6.6469352399999995</v>
      </c>
      <c r="BJ22" s="14">
        <f>SUM(BH22,BI22)</f>
        <v>28.803386039999999</v>
      </c>
      <c r="BK22" s="91">
        <f>SUM(CS6)</f>
        <v>33.888199999999998</v>
      </c>
      <c r="BL22" s="20">
        <f t="shared" ref="BL22" si="36">SUM(BK22-BJ22)</f>
        <v>5.0848139599999982</v>
      </c>
      <c r="BM22" s="103">
        <f>SUM(BK22-BH22)</f>
        <v>11.731749199999999</v>
      </c>
      <c r="BN22" s="106">
        <f>SUM(BK22-BH22)</f>
        <v>11.731749199999999</v>
      </c>
      <c r="BO22" s="107">
        <f>SUM(BK22-BJ22)</f>
        <v>5.0848139599999982</v>
      </c>
      <c r="BP22" s="100"/>
      <c r="BQ22" s="88"/>
      <c r="BS22" s="1"/>
      <c r="BT22" s="100"/>
      <c r="BU22" s="284"/>
      <c r="BV22" s="286"/>
      <c r="BW22" s="70"/>
      <c r="BX22" s="117">
        <f>(BK22-BH22)/BK22</f>
        <v>0.34618980057955279</v>
      </c>
      <c r="BY22" s="118">
        <f>(BK22-BJ22)/BK22</f>
        <v>0.15004674075341856</v>
      </c>
      <c r="CA22" s="91">
        <v>30.83</v>
      </c>
      <c r="CB22" s="92">
        <f t="shared" si="34"/>
        <v>46.244999999999997</v>
      </c>
      <c r="CD22" s="1"/>
      <c r="CI22" s="98"/>
      <c r="CJ22" s="26"/>
      <c r="CK22" s="99"/>
      <c r="CN22" s="77" t="s">
        <v>62</v>
      </c>
      <c r="CO22" s="73">
        <v>17.25</v>
      </c>
      <c r="CP22" s="73">
        <f t="shared" si="24"/>
        <v>0.86250000000000004</v>
      </c>
      <c r="CQ22" s="73">
        <f t="shared" si="28"/>
        <v>18.112500000000001</v>
      </c>
      <c r="CR22" s="72">
        <v>1950</v>
      </c>
      <c r="CS22" s="73">
        <f t="shared" si="25"/>
        <v>35319.375</v>
      </c>
      <c r="CT22" s="72"/>
      <c r="CU22" s="73">
        <f t="shared" ref="CU22" si="37">SUM(CQ22-CQ19)</f>
        <v>1.942499999999999</v>
      </c>
      <c r="CV22" s="78">
        <f t="shared" ref="CV22" si="38">SUM(CQ22-CQ20)</f>
        <v>1.365000000000002</v>
      </c>
      <c r="CW22" s="73">
        <f t="shared" ref="CW22" si="39">SUM(CV22,CU22)</f>
        <v>3.307500000000001</v>
      </c>
    </row>
    <row r="23" spans="2:101" ht="18.75" customHeight="1" x14ac:dyDescent="0.35"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1"/>
      <c r="U23" s="32"/>
      <c r="X23" s="141"/>
      <c r="Y23" s="141"/>
      <c r="Z23" s="28"/>
      <c r="AA23" s="28"/>
      <c r="AB23" s="28"/>
      <c r="AC23" s="28"/>
      <c r="AD23" s="28"/>
      <c r="AE23" s="28"/>
      <c r="AF23" s="28"/>
      <c r="AG23" s="28"/>
      <c r="AH23" s="28"/>
      <c r="AI23" s="1"/>
      <c r="AM23" s="68"/>
      <c r="AN23" s="68"/>
      <c r="AO23" s="68"/>
      <c r="AT23" s="95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1"/>
      <c r="BL23" s="97"/>
      <c r="BM23" s="74"/>
      <c r="BN23" s="106"/>
      <c r="BO23" s="107"/>
      <c r="BP23" s="100"/>
      <c r="BQ23" s="101"/>
      <c r="BR23" s="153">
        <f>BR21/BQ20</f>
        <v>0.15361911927019917</v>
      </c>
      <c r="BS23" s="154">
        <f>BS21/BQ20</f>
        <v>0.34893778405399933</v>
      </c>
      <c r="BT23" s="100"/>
      <c r="BU23" s="122"/>
      <c r="BV23" s="122"/>
      <c r="BW23" s="70"/>
      <c r="BX23" s="113"/>
      <c r="BY23" s="114"/>
      <c r="CA23" s="91"/>
      <c r="CB23" s="92"/>
      <c r="CD23" s="1"/>
      <c r="CI23" s="98"/>
      <c r="CJ23" s="26"/>
      <c r="CK23" s="99"/>
      <c r="CN23" s="79"/>
      <c r="CO23" s="73"/>
      <c r="CP23" s="73"/>
      <c r="CQ23" s="73"/>
      <c r="CR23" s="72"/>
      <c r="CS23" s="73"/>
      <c r="CT23" s="72"/>
      <c r="CU23" s="73"/>
      <c r="CV23" s="78"/>
    </row>
    <row r="24" spans="2:101" x14ac:dyDescent="0.35">
      <c r="B24" s="18" t="s">
        <v>62</v>
      </c>
      <c r="C24" s="6">
        <v>16.75</v>
      </c>
      <c r="D24" s="7" t="s">
        <v>43</v>
      </c>
      <c r="E24" s="8">
        <v>0.1207</v>
      </c>
      <c r="F24" s="9">
        <f>SUM(C24*12.07%)</f>
        <v>2.021725</v>
      </c>
      <c r="G24" s="10">
        <f>SUM(F24,C24)</f>
        <v>18.771725</v>
      </c>
      <c r="H24" s="10">
        <f>SUM(G24*40)</f>
        <v>750.86900000000003</v>
      </c>
      <c r="I24" s="11">
        <v>0.13800000000000001</v>
      </c>
      <c r="J24" s="12">
        <v>175</v>
      </c>
      <c r="K24" s="12">
        <f t="shared" ref="K24" si="40">SUM(H24-J24)/40</f>
        <v>14.396725</v>
      </c>
      <c r="L24" s="13">
        <f>SUM(K24*13.8%)</f>
        <v>1.9867480500000001</v>
      </c>
      <c r="M24" s="14">
        <f>SUM(G24,L24)</f>
        <v>20.758473049999999</v>
      </c>
      <c r="N24" s="15">
        <v>0.45</v>
      </c>
      <c r="O24" s="14">
        <v>0.08</v>
      </c>
      <c r="P24" s="14">
        <f>SUM(M24,N24)</f>
        <v>21.208473049999998</v>
      </c>
      <c r="Q24" s="16">
        <f>SUM(P24*20%)</f>
        <v>4.2416946099999997</v>
      </c>
      <c r="R24" s="14">
        <f>SUM(P24,Q24)</f>
        <v>25.450167659999998</v>
      </c>
      <c r="S24" s="34">
        <v>35.630000000000003</v>
      </c>
      <c r="T24" s="20">
        <f>SUM(S24-R24)</f>
        <v>10.179832340000004</v>
      </c>
      <c r="U24" s="31">
        <f>SUM(T24,Q24)</f>
        <v>14.421526950000004</v>
      </c>
      <c r="V24" s="139">
        <f>SUM(S24-P24)</f>
        <v>14.421526950000004</v>
      </c>
      <c r="W24" s="140">
        <f>SUM(S24-R24)</f>
        <v>10.179832340000004</v>
      </c>
      <c r="X24" s="141">
        <f>SUM(W24*16)/16</f>
        <v>10.179832340000004</v>
      </c>
      <c r="Y24" s="141">
        <f>SUM(V24*16)/16</f>
        <v>14.421526950000004</v>
      </c>
      <c r="Z24" s="4"/>
      <c r="AA24" s="4"/>
      <c r="AB24" s="4"/>
      <c r="AC24" s="4"/>
      <c r="AD24" s="4"/>
      <c r="AE24" s="4"/>
      <c r="AF24" s="4"/>
      <c r="AG24" s="4"/>
      <c r="AH24" s="4"/>
      <c r="AI24" s="5"/>
      <c r="AM24" s="68">
        <v>13.2</v>
      </c>
      <c r="AN24" s="68">
        <f>SUM(AM24*10%)</f>
        <v>1.32</v>
      </c>
      <c r="AO24" s="68">
        <f>SUM(AN24,AM24)</f>
        <v>14.52</v>
      </c>
      <c r="AT24" s="18" t="s">
        <v>62</v>
      </c>
      <c r="AU24" s="6">
        <v>18.91</v>
      </c>
      <c r="AV24" s="7" t="s">
        <v>43</v>
      </c>
      <c r="AW24" s="8">
        <v>0.1207</v>
      </c>
      <c r="AX24" s="9">
        <f>SUM(AU24*12.07%)</f>
        <v>2.2824370000000003</v>
      </c>
      <c r="AY24" s="10">
        <f>SUM(AX24,AU24)</f>
        <v>21.192437000000002</v>
      </c>
      <c r="AZ24" s="10">
        <f>SUM(AY24*40)</f>
        <v>847.69748000000004</v>
      </c>
      <c r="BA24" s="11">
        <v>0.15</v>
      </c>
      <c r="BB24" s="12">
        <v>96.15</v>
      </c>
      <c r="BC24" s="12">
        <f t="shared" ref="BC24:BC25" si="41">SUM(AZ24-BB24)/40</f>
        <v>18.788687000000003</v>
      </c>
      <c r="BD24" s="13">
        <f t="shared" ref="BD24:BD25" si="42">SUM(BC24*15%)</f>
        <v>2.8183030500000004</v>
      </c>
      <c r="BE24" s="14">
        <f>SUM(AY24,BD24)</f>
        <v>24.010740050000003</v>
      </c>
      <c r="BF24" s="15">
        <v>0.45</v>
      </c>
      <c r="BG24" s="14">
        <v>0.08</v>
      </c>
      <c r="BH24" s="14">
        <f t="shared" ref="BH24:BH25" si="43">SUM(BE24,BF24,BG24)</f>
        <v>24.54074005</v>
      </c>
      <c r="BI24" s="16">
        <f t="shared" ref="BI24:BI25" si="44">SUM(BH24*30%)</f>
        <v>7.3622220149999995</v>
      </c>
      <c r="BJ24" s="14">
        <f>SUM(BH24,BI24)</f>
        <v>31.902962065000001</v>
      </c>
      <c r="BK24" s="91">
        <f>SUM(CS5)</f>
        <v>37.767800000000001</v>
      </c>
      <c r="BL24" s="20">
        <f>SUM(BK24-BJ24)</f>
        <v>5.8648379350000006</v>
      </c>
      <c r="BM24" s="103">
        <f>SUM(BK24-BH24)</f>
        <v>13.227059950000001</v>
      </c>
      <c r="BN24" s="106">
        <f>SUM(BK24-BH24)</f>
        <v>13.227059950000001</v>
      </c>
      <c r="BO24" s="107">
        <f>SUM(BK24-BJ24)</f>
        <v>5.8648379350000006</v>
      </c>
      <c r="BP24" s="100"/>
      <c r="BQ24" s="157"/>
      <c r="BR24" s="100"/>
      <c r="BS24" s="109"/>
      <c r="BT24" s="100"/>
      <c r="BU24" s="285">
        <f>BS61*16</f>
        <v>229.5469592</v>
      </c>
      <c r="BV24" s="285">
        <f>BR61*16</f>
        <v>111.75140696</v>
      </c>
      <c r="BW24" s="70"/>
      <c r="BX24" s="117">
        <f>(BK24-BH24)/BK24</f>
        <v>0.35022055692944787</v>
      </c>
      <c r="BY24" s="118">
        <f>(BK24-BJ24)/BK24</f>
        <v>0.1552867240082822</v>
      </c>
      <c r="CA24" s="91">
        <v>37.590000000000003</v>
      </c>
      <c r="CB24" s="92">
        <f t="shared" ref="CB24:CB25" si="45">SUM(CA24*1.5)</f>
        <v>56.385000000000005</v>
      </c>
      <c r="CD24" s="1"/>
      <c r="CI24" s="98">
        <v>2</v>
      </c>
      <c r="CJ24" s="123">
        <f>SUM(CI24*BU24)</f>
        <v>459.09391840000001</v>
      </c>
      <c r="CK24" s="127">
        <f>SUM(BV24*2)</f>
        <v>223.50281391999999</v>
      </c>
      <c r="CN24" s="80" t="s">
        <v>62</v>
      </c>
      <c r="CO24" s="81">
        <v>18.010000000000002</v>
      </c>
      <c r="CP24" s="81">
        <f t="shared" si="24"/>
        <v>0.90050000000000008</v>
      </c>
      <c r="CQ24" s="81">
        <f t="shared" si="28"/>
        <v>18.910500000000003</v>
      </c>
      <c r="CR24" s="72">
        <v>1950</v>
      </c>
      <c r="CS24" s="73">
        <f t="shared" si="25"/>
        <v>36875.475000000006</v>
      </c>
      <c r="CT24" s="82"/>
      <c r="CU24" s="81">
        <f>SUM(CQ24-CQ21)</f>
        <v>1.8480000000000025</v>
      </c>
      <c r="CV24" s="83">
        <f>SUM(CQ24-CQ20)</f>
        <v>2.1630000000000038</v>
      </c>
    </row>
    <row r="25" spans="2:101" ht="23.5" x14ac:dyDescent="0.35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35"/>
      <c r="W25" s="35"/>
      <c r="X25" s="35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5"/>
      <c r="AM25" s="68">
        <v>15.05</v>
      </c>
      <c r="AN25" s="68">
        <f t="shared" ref="AN25:AN37" si="46">SUM(AM25*10%)</f>
        <v>1.5050000000000001</v>
      </c>
      <c r="AO25" s="68">
        <f t="shared" ref="AO25:AO37" si="47">SUM(AN25,AM25)</f>
        <v>16.555</v>
      </c>
      <c r="AT25" s="18" t="s">
        <v>62</v>
      </c>
      <c r="AU25" s="6">
        <v>18.91</v>
      </c>
      <c r="AV25" s="7" t="s">
        <v>43</v>
      </c>
      <c r="AW25" s="8">
        <v>0.1207</v>
      </c>
      <c r="AX25" s="9">
        <f>SUM(AU25*12.07%)</f>
        <v>2.2824370000000003</v>
      </c>
      <c r="AY25" s="10">
        <f>SUM(AX25,AU25)</f>
        <v>21.192437000000002</v>
      </c>
      <c r="AZ25" s="10">
        <f>SUM(AY25*40)</f>
        <v>847.69748000000004</v>
      </c>
      <c r="BA25" s="11">
        <v>0.15</v>
      </c>
      <c r="BB25" s="12">
        <v>96.15</v>
      </c>
      <c r="BC25" s="12">
        <f t="shared" si="41"/>
        <v>18.788687000000003</v>
      </c>
      <c r="BD25" s="13">
        <f t="shared" si="42"/>
        <v>2.8183030500000004</v>
      </c>
      <c r="BE25" s="14">
        <f>SUM(AY25,BD25)</f>
        <v>24.010740050000003</v>
      </c>
      <c r="BF25" s="15">
        <v>0.45</v>
      </c>
      <c r="BG25" s="14">
        <v>0.08</v>
      </c>
      <c r="BH25" s="14">
        <f t="shared" si="43"/>
        <v>24.54074005</v>
      </c>
      <c r="BI25" s="16">
        <f t="shared" si="44"/>
        <v>7.3622220149999995</v>
      </c>
      <c r="BJ25" s="14">
        <f>SUM(BH25,BI25)</f>
        <v>31.902962065000001</v>
      </c>
      <c r="BK25" s="91">
        <f>SUM(CS4)</f>
        <v>41.3506</v>
      </c>
      <c r="BL25" s="20">
        <f t="shared" ref="BL25" si="48">SUM(BK25-BJ25)</f>
        <v>9.4476379349999995</v>
      </c>
      <c r="BM25" s="103">
        <f>SUM(BK25-BH25)</f>
        <v>16.80985995</v>
      </c>
      <c r="BN25" s="110">
        <f>SUM(BK25-BH25)</f>
        <v>16.80985995</v>
      </c>
      <c r="BO25" s="111">
        <f>SUM(BK25-BJ25)</f>
        <v>9.4476379349999995</v>
      </c>
      <c r="BP25" s="100"/>
      <c r="BQ25" s="251" t="s">
        <v>60</v>
      </c>
      <c r="BR25" s="252"/>
      <c r="BS25" s="253"/>
      <c r="BT25" s="100"/>
      <c r="BU25" s="287"/>
      <c r="BV25" s="287"/>
      <c r="BW25" s="70"/>
      <c r="BX25" s="120">
        <f>(BK25-BH25)/BK25</f>
        <v>0.40652033948721422</v>
      </c>
      <c r="BY25" s="121">
        <f>(BK25-BJ25)/BK25</f>
        <v>0.22847644133337847</v>
      </c>
      <c r="CA25" s="93">
        <v>41.16</v>
      </c>
      <c r="CB25" s="94">
        <f t="shared" si="45"/>
        <v>61.739999999999995</v>
      </c>
      <c r="CD25" s="1"/>
      <c r="CI25" s="98"/>
      <c r="CJ25" s="26"/>
      <c r="CK25" s="99"/>
    </row>
    <row r="26" spans="2:101" x14ac:dyDescent="0.35">
      <c r="AM26" s="68"/>
      <c r="AN26" s="68"/>
      <c r="AO26" s="68"/>
      <c r="AT26" s="88"/>
      <c r="BQ26" s="88" t="s">
        <v>60</v>
      </c>
      <c r="BR26" s="28" t="s">
        <v>38</v>
      </c>
      <c r="BS26" s="1" t="s">
        <v>39</v>
      </c>
      <c r="CD26" s="1"/>
      <c r="CI26" s="2"/>
      <c r="CK26" s="27"/>
    </row>
    <row r="27" spans="2:101" x14ac:dyDescent="0.35">
      <c r="AM27" s="68"/>
      <c r="AN27" s="68"/>
      <c r="AO27" s="68"/>
      <c r="AT27" s="88"/>
      <c r="BQ27" s="151">
        <f>BK15*11</f>
        <v>330.21120000000002</v>
      </c>
      <c r="BR27" s="149"/>
      <c r="BS27" s="152"/>
      <c r="CD27" s="1"/>
      <c r="CI27" s="2"/>
      <c r="CK27" s="27"/>
    </row>
    <row r="28" spans="2:101" x14ac:dyDescent="0.35">
      <c r="AM28" s="68"/>
      <c r="AN28" s="68"/>
      <c r="AO28" s="68"/>
      <c r="AT28" s="88"/>
      <c r="BQ28" s="151">
        <f>BK16*5</f>
        <v>163.929</v>
      </c>
      <c r="BR28" s="149">
        <f>BJ15*16</f>
        <v>436.99581848000003</v>
      </c>
      <c r="BS28" s="152">
        <f>BH15*16</f>
        <v>336.1506296</v>
      </c>
      <c r="CD28" s="1"/>
      <c r="CI28" s="98"/>
      <c r="CJ28" s="26"/>
      <c r="CK28" s="99"/>
    </row>
    <row r="29" spans="2:101" x14ac:dyDescent="0.35">
      <c r="AM29" s="68"/>
      <c r="AN29" s="68"/>
      <c r="AO29" s="68"/>
      <c r="AT29" s="101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151">
        <f>SUM(BQ27:BQ28)/16</f>
        <v>30.883762500000003</v>
      </c>
      <c r="BR29" s="149">
        <f>BR28/16</f>
        <v>27.312238655000002</v>
      </c>
      <c r="BS29" s="152">
        <f>BS28/16</f>
        <v>21.00941435</v>
      </c>
      <c r="BT29" s="35"/>
      <c r="BU29" s="35"/>
      <c r="BV29" s="35"/>
      <c r="BW29" s="35"/>
      <c r="BX29" s="71"/>
      <c r="BY29" s="71"/>
      <c r="BZ29" s="35"/>
      <c r="CA29" s="35"/>
      <c r="CB29" s="35"/>
      <c r="CC29" s="35"/>
      <c r="CD29" s="102"/>
      <c r="CI29" s="128">
        <f>SUM(CI9,CI12,CI15,CI18,CI21,CI26)</f>
        <v>140</v>
      </c>
      <c r="CJ29" s="129">
        <f>SUM(CJ9,CJ12,CJ15,CJ18,CJ21,CJ26)</f>
        <v>21659.562360000011</v>
      </c>
      <c r="CK29" s="130">
        <f>SUM(CK9,CK12,CK15,CK18,CK21,CK26)</f>
        <v>11322.108920000017</v>
      </c>
    </row>
    <row r="30" spans="2:101" x14ac:dyDescent="0.35">
      <c r="AM30" s="68"/>
      <c r="AN30" s="68"/>
      <c r="AO30" s="68"/>
      <c r="BQ30" s="88"/>
      <c r="BR30" s="149">
        <f>BQ29-BR29</f>
        <v>3.5715238450000015</v>
      </c>
      <c r="BS30" s="152">
        <f>BQ29-BS29</f>
        <v>9.874348150000003</v>
      </c>
    </row>
    <row r="31" spans="2:101" x14ac:dyDescent="0.35">
      <c r="AM31" s="68"/>
      <c r="AN31" s="68"/>
      <c r="AO31" s="68"/>
      <c r="BQ31" s="88"/>
      <c r="BS31" s="1"/>
    </row>
    <row r="32" spans="2:101" x14ac:dyDescent="0.35">
      <c r="AM32" s="68">
        <v>15.4</v>
      </c>
      <c r="AN32" s="68">
        <f t="shared" si="46"/>
        <v>1.54</v>
      </c>
      <c r="AO32" s="68">
        <f t="shared" si="47"/>
        <v>16.940000000000001</v>
      </c>
      <c r="BQ32" s="101"/>
      <c r="BR32" s="153">
        <f>BR30/BQ29</f>
        <v>0.11564406522683242</v>
      </c>
      <c r="BS32" s="154">
        <f>BS30/BQ29</f>
        <v>0.31972620402064034</v>
      </c>
    </row>
    <row r="33" spans="17:85" x14ac:dyDescent="0.35">
      <c r="AM33" s="68"/>
      <c r="AN33" s="68"/>
      <c r="AO33" s="68"/>
      <c r="BQ33" s="88"/>
      <c r="BR33" s="158"/>
      <c r="BS33" s="159"/>
    </row>
    <row r="34" spans="17:85" ht="18.75" customHeight="1" x14ac:dyDescent="0.35">
      <c r="AM34" s="68">
        <v>15.95</v>
      </c>
      <c r="AN34" s="68">
        <f t="shared" si="46"/>
        <v>1.595</v>
      </c>
      <c r="AO34" s="68">
        <f t="shared" si="47"/>
        <v>17.544999999999998</v>
      </c>
      <c r="BQ34" s="88"/>
      <c r="BS34" s="1"/>
    </row>
    <row r="35" spans="17:85" ht="18.75" customHeight="1" x14ac:dyDescent="0.35">
      <c r="AM35" s="68">
        <v>16.25</v>
      </c>
      <c r="AN35" s="68">
        <f t="shared" si="46"/>
        <v>1.625</v>
      </c>
      <c r="AO35" s="68">
        <f t="shared" si="47"/>
        <v>17.875</v>
      </c>
      <c r="BQ35" s="248" t="s">
        <v>59</v>
      </c>
      <c r="BR35" s="249"/>
      <c r="BS35" s="250"/>
    </row>
    <row r="36" spans="17:85" ht="15" customHeight="1" x14ac:dyDescent="0.35">
      <c r="AM36" s="68">
        <v>16.75</v>
      </c>
      <c r="AN36" s="68">
        <f t="shared" si="46"/>
        <v>1.675</v>
      </c>
      <c r="AO36" s="68">
        <f t="shared" si="47"/>
        <v>18.425000000000001</v>
      </c>
      <c r="BQ36" s="88" t="s">
        <v>59</v>
      </c>
      <c r="BR36" s="28" t="s">
        <v>38</v>
      </c>
      <c r="BS36" s="1" t="s">
        <v>39</v>
      </c>
    </row>
    <row r="37" spans="17:85" ht="15" customHeight="1" x14ac:dyDescent="0.35">
      <c r="AM37" s="68">
        <v>18.010000000000002</v>
      </c>
      <c r="AN37" s="68">
        <f t="shared" si="46"/>
        <v>1.8010000000000002</v>
      </c>
      <c r="AO37" s="68">
        <f t="shared" si="47"/>
        <v>19.811</v>
      </c>
      <c r="BQ37" s="151">
        <f>BK18*11</f>
        <v>340.70519999999999</v>
      </c>
      <c r="BR37" s="149"/>
      <c r="BS37" s="152"/>
    </row>
    <row r="38" spans="17:85" ht="53.25" customHeight="1" x14ac:dyDescent="0.35">
      <c r="Q38" s="28"/>
      <c r="R38" s="28"/>
      <c r="V38"/>
      <c r="W38"/>
      <c r="X38"/>
      <c r="Y38"/>
      <c r="AF38" s="67"/>
      <c r="AG38" s="67"/>
      <c r="AH38" s="67"/>
      <c r="AM38" s="28"/>
      <c r="AN38" s="28"/>
      <c r="AO38" s="28"/>
      <c r="AP38" s="28"/>
      <c r="AQ38" s="28"/>
      <c r="AR38" s="28"/>
      <c r="AS38" s="28"/>
      <c r="BQ38" s="151">
        <f>BK22*5</f>
        <v>169.44099999999997</v>
      </c>
      <c r="BR38" s="149">
        <f>BJ18*16</f>
        <v>452.54396199999996</v>
      </c>
      <c r="BS38" s="152">
        <f>BH18*16</f>
        <v>348.11073999999996</v>
      </c>
      <c r="BX38" s="28"/>
      <c r="BY38" s="28"/>
      <c r="CA38"/>
      <c r="CB38"/>
      <c r="CC38"/>
      <c r="CD38"/>
      <c r="CE38"/>
      <c r="CF38"/>
      <c r="CG38"/>
    </row>
    <row r="39" spans="17:85" ht="14.5" x14ac:dyDescent="0.35">
      <c r="Q39" s="28"/>
      <c r="R39" s="28"/>
      <c r="V39"/>
      <c r="W39"/>
      <c r="X39"/>
      <c r="Y39"/>
      <c r="AF39" s="67"/>
      <c r="AG39" s="67"/>
      <c r="AH39" s="67"/>
      <c r="AM39" s="28"/>
      <c r="AN39" s="28"/>
      <c r="AO39" s="28"/>
      <c r="AP39" s="28"/>
      <c r="AQ39" s="28"/>
      <c r="AR39" s="28"/>
      <c r="AS39" s="28"/>
      <c r="BQ39" s="151">
        <f>SUM(BQ37:BQ38)/16</f>
        <v>31.884137499999998</v>
      </c>
      <c r="BR39" s="149">
        <f>BR38/16</f>
        <v>28.283997624999998</v>
      </c>
      <c r="BS39" s="152">
        <f>BS38/16</f>
        <v>21.756921249999998</v>
      </c>
      <c r="BX39" s="28"/>
      <c r="BY39" s="28"/>
      <c r="CA39"/>
      <c r="CB39"/>
      <c r="CC39"/>
      <c r="CD39"/>
      <c r="CE39"/>
      <c r="CF39"/>
      <c r="CG39"/>
    </row>
    <row r="40" spans="17:85" ht="14.5" x14ac:dyDescent="0.35">
      <c r="Q40" s="28"/>
      <c r="R40" s="28"/>
      <c r="V40"/>
      <c r="W40"/>
      <c r="X40"/>
      <c r="Y40"/>
      <c r="AF40" s="67"/>
      <c r="AG40" s="67"/>
      <c r="AH40" s="67"/>
      <c r="AM40" s="28"/>
      <c r="AN40" s="28"/>
      <c r="AO40" s="28"/>
      <c r="AP40" s="28"/>
      <c r="AQ40" s="28"/>
      <c r="AR40" s="28"/>
      <c r="AS40" s="28"/>
      <c r="BQ40" s="88"/>
      <c r="BR40" s="149">
        <f>BQ39-BR39</f>
        <v>3.600139875</v>
      </c>
      <c r="BS40" s="152">
        <f>BQ39-BS39</f>
        <v>10.12721625</v>
      </c>
      <c r="BX40" s="28"/>
      <c r="BY40" s="28"/>
      <c r="CA40"/>
      <c r="CB40"/>
      <c r="CC40"/>
      <c r="CD40"/>
      <c r="CE40"/>
      <c r="CF40"/>
      <c r="CG40"/>
    </row>
    <row r="41" spans="17:85" ht="14.5" x14ac:dyDescent="0.35">
      <c r="Q41" s="28"/>
      <c r="R41" s="28"/>
      <c r="V41"/>
      <c r="W41"/>
      <c r="X41"/>
      <c r="Y41"/>
      <c r="AF41" s="67"/>
      <c r="AG41" s="67"/>
      <c r="AH41" s="67"/>
      <c r="AM41" s="28"/>
      <c r="AN41" s="28"/>
      <c r="AO41" s="28"/>
      <c r="AP41" s="28"/>
      <c r="AQ41" s="28"/>
      <c r="AR41" s="28"/>
      <c r="AS41" s="28"/>
      <c r="BQ41" s="88"/>
      <c r="BS41" s="1"/>
      <c r="BX41" s="28"/>
      <c r="BY41" s="28"/>
      <c r="CA41"/>
      <c r="CB41"/>
      <c r="CC41"/>
      <c r="CD41"/>
      <c r="CE41"/>
      <c r="CF41"/>
      <c r="CG41"/>
    </row>
    <row r="42" spans="17:85" ht="14.5" x14ac:dyDescent="0.35">
      <c r="Q42" s="28"/>
      <c r="R42" s="28"/>
      <c r="V42"/>
      <c r="W42"/>
      <c r="X42"/>
      <c r="Y42"/>
      <c r="AF42" s="67"/>
      <c r="AG42" s="67"/>
      <c r="AH42" s="67"/>
      <c r="AM42" s="28"/>
      <c r="AN42" s="28"/>
      <c r="AO42" s="28"/>
      <c r="AP42" s="28"/>
      <c r="AQ42" s="28"/>
      <c r="AR42" s="28"/>
      <c r="AS42" s="28"/>
      <c r="BQ42" s="101"/>
      <c r="BR42" s="155">
        <f>BR40/BQ39</f>
        <v>0.11291319625628889</v>
      </c>
      <c r="BS42" s="156">
        <f>BS40/BQ39</f>
        <v>0.31762553558176071</v>
      </c>
      <c r="BX42" s="28"/>
      <c r="BY42" s="28"/>
      <c r="CA42"/>
      <c r="CB42"/>
      <c r="CC42"/>
      <c r="CD42"/>
      <c r="CE42"/>
      <c r="CF42"/>
      <c r="CG42"/>
    </row>
    <row r="43" spans="17:85" x14ac:dyDescent="0.35">
      <c r="Q43" s="28"/>
      <c r="R43" s="28"/>
      <c r="V43"/>
      <c r="W43"/>
      <c r="X43"/>
      <c r="Y43"/>
      <c r="AF43" s="67"/>
      <c r="AG43" s="67"/>
      <c r="AH43" s="67"/>
      <c r="AM43" s="28"/>
      <c r="AN43" s="28"/>
      <c r="AO43" s="28"/>
      <c r="AP43" s="28"/>
      <c r="AQ43" s="28"/>
      <c r="AR43" s="28"/>
      <c r="AS43" s="28"/>
      <c r="BQ43" s="119"/>
      <c r="BR43" s="70"/>
      <c r="BS43" s="1"/>
      <c r="BX43" s="28"/>
      <c r="BY43" s="28"/>
      <c r="CA43"/>
      <c r="CB43"/>
      <c r="CC43"/>
      <c r="CD43"/>
      <c r="CE43"/>
      <c r="CF43"/>
      <c r="CG43"/>
    </row>
    <row r="44" spans="17:85" x14ac:dyDescent="0.35">
      <c r="Q44" s="28"/>
      <c r="R44" s="28"/>
      <c r="V44"/>
      <c r="W44"/>
      <c r="X44"/>
      <c r="Y44"/>
      <c r="AF44" s="67"/>
      <c r="AG44" s="67"/>
      <c r="AH44" s="67"/>
      <c r="AM44" s="28"/>
      <c r="AN44" s="28"/>
      <c r="AO44" s="28"/>
      <c r="AP44" s="28"/>
      <c r="AQ44" s="28"/>
      <c r="AR44" s="28"/>
      <c r="AS44" s="28"/>
      <c r="BQ44" s="119"/>
      <c r="BR44" s="70"/>
      <c r="BS44" s="1"/>
      <c r="BX44" s="28"/>
      <c r="BY44" s="28"/>
      <c r="CA44"/>
      <c r="CB44"/>
      <c r="CC44"/>
      <c r="CD44"/>
      <c r="CE44"/>
      <c r="CF44"/>
      <c r="CG44"/>
    </row>
    <row r="45" spans="17:85" ht="23.5" x14ac:dyDescent="0.35">
      <c r="Q45" s="28"/>
      <c r="R45" s="28"/>
      <c r="V45"/>
      <c r="W45"/>
      <c r="X45"/>
      <c r="Y45"/>
      <c r="AF45" s="67"/>
      <c r="AG45" s="67"/>
      <c r="AH45" s="67"/>
      <c r="AM45" s="28"/>
      <c r="AN45" s="28"/>
      <c r="AO45" s="28"/>
      <c r="AP45" s="28"/>
      <c r="AQ45" s="28"/>
      <c r="AR45" s="28"/>
      <c r="AS45" s="28"/>
      <c r="BQ45" s="248" t="s">
        <v>61</v>
      </c>
      <c r="BR45" s="249"/>
      <c r="BS45" s="250"/>
      <c r="BX45" s="28"/>
      <c r="BY45" s="28"/>
      <c r="CA45"/>
      <c r="CB45"/>
      <c r="CC45"/>
      <c r="CD45"/>
      <c r="CE45"/>
      <c r="CF45"/>
      <c r="CG45"/>
    </row>
    <row r="46" spans="17:85" ht="14.5" x14ac:dyDescent="0.35">
      <c r="Q46" s="28"/>
      <c r="R46" s="28"/>
      <c r="V46"/>
      <c r="W46"/>
      <c r="X46"/>
      <c r="Y46"/>
      <c r="AF46" s="67"/>
      <c r="AG46" s="67"/>
      <c r="AH46" s="67"/>
      <c r="AM46" s="28"/>
      <c r="AN46" s="28"/>
      <c r="AO46" s="28"/>
      <c r="AP46" s="28"/>
      <c r="AQ46" s="28"/>
      <c r="AR46" s="28"/>
      <c r="AS46" s="28"/>
      <c r="BQ46" s="88" t="s">
        <v>61</v>
      </c>
      <c r="BR46" s="28" t="s">
        <v>38</v>
      </c>
      <c r="BS46" s="1" t="s">
        <v>39</v>
      </c>
      <c r="BX46" s="28"/>
      <c r="BY46" s="28"/>
      <c r="CA46"/>
      <c r="CB46"/>
      <c r="CC46"/>
      <c r="CD46"/>
      <c r="CE46"/>
      <c r="CF46"/>
      <c r="CG46"/>
    </row>
    <row r="47" spans="17:85" ht="14.5" x14ac:dyDescent="0.35">
      <c r="Q47" s="28"/>
      <c r="R47" s="28"/>
      <c r="V47"/>
      <c r="W47"/>
      <c r="X47"/>
      <c r="Y47"/>
      <c r="AF47" s="67"/>
      <c r="AG47" s="67"/>
      <c r="AH47" s="67"/>
      <c r="AM47" s="28"/>
      <c r="AN47" s="28"/>
      <c r="AO47" s="28"/>
      <c r="AP47" s="28"/>
      <c r="AQ47" s="28"/>
      <c r="AR47" s="28"/>
      <c r="AS47" s="28"/>
      <c r="BQ47" s="151">
        <f>BK21*11</f>
        <v>340.70519999999999</v>
      </c>
      <c r="BR47" s="149"/>
      <c r="BS47" s="152"/>
      <c r="BX47" s="28"/>
      <c r="BY47" s="28"/>
      <c r="CA47"/>
      <c r="CB47"/>
      <c r="CC47"/>
      <c r="CD47"/>
      <c r="CE47"/>
      <c r="CF47"/>
      <c r="CG47"/>
    </row>
    <row r="48" spans="17:85" ht="14.5" x14ac:dyDescent="0.35">
      <c r="Q48" s="28"/>
      <c r="R48" s="28"/>
      <c r="V48"/>
      <c r="W48"/>
      <c r="X48"/>
      <c r="Y48"/>
      <c r="AF48" s="67"/>
      <c r="AG48" s="67"/>
      <c r="AH48" s="67"/>
      <c r="AM48" s="28"/>
      <c r="AN48" s="28"/>
      <c r="AO48" s="28"/>
      <c r="AP48" s="28"/>
      <c r="AQ48" s="28"/>
      <c r="AR48" s="28"/>
      <c r="AS48" s="28"/>
      <c r="BQ48" s="151">
        <f>BK22*5</f>
        <v>169.44099999999997</v>
      </c>
      <c r="BR48" s="149">
        <f>BJ21*16</f>
        <v>460.85417663999999</v>
      </c>
      <c r="BS48" s="152">
        <f>BH21*16</f>
        <v>354.50321279999997</v>
      </c>
      <c r="BX48" s="28"/>
      <c r="BY48" s="28"/>
      <c r="CA48"/>
      <c r="CB48"/>
      <c r="CC48"/>
      <c r="CD48"/>
      <c r="CE48"/>
      <c r="CF48"/>
      <c r="CG48"/>
    </row>
    <row r="49" spans="17:85" ht="14.5" x14ac:dyDescent="0.35">
      <c r="Q49" s="28"/>
      <c r="R49" s="28"/>
      <c r="V49"/>
      <c r="W49"/>
      <c r="X49"/>
      <c r="Y49"/>
      <c r="AF49" s="67"/>
      <c r="AG49" s="67"/>
      <c r="AH49" s="67"/>
      <c r="AM49" s="28"/>
      <c r="AN49" s="28"/>
      <c r="AO49" s="28"/>
      <c r="AP49" s="28"/>
      <c r="AQ49" s="28"/>
      <c r="AR49" s="28"/>
      <c r="AS49" s="28"/>
      <c r="BQ49" s="151">
        <f>SUM(BQ47:BQ48)/16</f>
        <v>31.884137499999998</v>
      </c>
      <c r="BR49" s="149">
        <f>BR48/16</f>
        <v>28.803386039999999</v>
      </c>
      <c r="BS49" s="152">
        <f>BS48/16</f>
        <v>22.156450799999998</v>
      </c>
      <c r="BX49" s="28"/>
      <c r="BY49" s="28"/>
      <c r="CA49"/>
      <c r="CB49"/>
      <c r="CC49"/>
      <c r="CD49"/>
      <c r="CE49"/>
      <c r="CF49"/>
      <c r="CG49"/>
    </row>
    <row r="50" spans="17:85" ht="14.5" x14ac:dyDescent="0.35">
      <c r="Q50" s="28"/>
      <c r="R50" s="28"/>
      <c r="V50"/>
      <c r="W50"/>
      <c r="X50"/>
      <c r="Y50"/>
      <c r="AF50" s="67"/>
      <c r="AG50" s="67"/>
      <c r="AH50" s="67"/>
      <c r="AM50" s="28"/>
      <c r="AN50" s="28"/>
      <c r="AO50" s="28"/>
      <c r="AP50" s="28"/>
      <c r="AQ50" s="28"/>
      <c r="AR50" s="28"/>
      <c r="AS50" s="28"/>
      <c r="BQ50" s="88"/>
      <c r="BR50" s="149">
        <f>BQ49-BR49</f>
        <v>3.0807514599999983</v>
      </c>
      <c r="BS50" s="152">
        <f>BQ49-BS49</f>
        <v>9.7276866999999996</v>
      </c>
      <c r="BX50" s="28"/>
      <c r="BY50" s="28"/>
      <c r="CA50"/>
      <c r="CB50"/>
      <c r="CC50"/>
      <c r="CD50"/>
      <c r="CE50"/>
      <c r="CF50"/>
      <c r="CG50"/>
    </row>
    <row r="51" spans="17:85" ht="14.5" x14ac:dyDescent="0.35">
      <c r="Q51" s="28"/>
      <c r="R51" s="28"/>
      <c r="V51"/>
      <c r="W51"/>
      <c r="X51"/>
      <c r="Y51"/>
      <c r="AF51" s="67"/>
      <c r="AG51" s="67"/>
      <c r="AH51" s="67"/>
      <c r="AM51" s="28"/>
      <c r="AN51" s="28"/>
      <c r="AO51" s="28"/>
      <c r="AP51" s="28"/>
      <c r="AQ51" s="28"/>
      <c r="AR51" s="28"/>
      <c r="AS51" s="28"/>
      <c r="BQ51" s="88"/>
      <c r="BS51" s="1"/>
      <c r="BX51" s="28"/>
      <c r="BY51" s="28"/>
      <c r="CA51"/>
      <c r="CB51"/>
      <c r="CC51"/>
      <c r="CD51"/>
      <c r="CE51"/>
      <c r="CF51"/>
      <c r="CG51"/>
    </row>
    <row r="52" spans="17:85" ht="14.5" x14ac:dyDescent="0.35">
      <c r="Q52" s="28"/>
      <c r="R52" s="28"/>
      <c r="V52"/>
      <c r="W52"/>
      <c r="X52"/>
      <c r="Y52"/>
      <c r="AF52" s="67"/>
      <c r="AG52" s="67"/>
      <c r="AH52" s="67"/>
      <c r="AM52" s="28"/>
      <c r="AN52" s="28"/>
      <c r="AO52" s="28"/>
      <c r="AP52" s="28"/>
      <c r="AQ52" s="28"/>
      <c r="AR52" s="28"/>
      <c r="AS52" s="28"/>
      <c r="BQ52" s="101"/>
      <c r="BR52" s="155">
        <f>BR50/BQ49</f>
        <v>9.6623327508859186E-2</v>
      </c>
      <c r="BS52" s="156">
        <f>BS50/BQ49</f>
        <v>0.30509486731450708</v>
      </c>
      <c r="BX52" s="28"/>
      <c r="BY52" s="28"/>
      <c r="CA52"/>
      <c r="CB52"/>
      <c r="CC52"/>
      <c r="CD52"/>
      <c r="CE52"/>
      <c r="CF52"/>
      <c r="CG52"/>
    </row>
    <row r="53" spans="17:85" ht="15" hidden="1" customHeight="1" x14ac:dyDescent="0.35">
      <c r="Q53" s="28"/>
      <c r="R53" s="28"/>
      <c r="V53"/>
      <c r="W53"/>
      <c r="X53"/>
      <c r="Y53"/>
      <c r="AF53" s="67"/>
      <c r="AG53" s="67"/>
      <c r="AH53" s="67"/>
      <c r="AM53" s="28"/>
      <c r="AN53" s="28"/>
      <c r="AO53" s="28"/>
      <c r="AP53" s="28"/>
      <c r="AQ53" s="28"/>
      <c r="AR53" s="28"/>
      <c r="AS53" s="28"/>
      <c r="BQ53" s="119"/>
      <c r="BR53" s="70"/>
      <c r="BS53" s="1"/>
      <c r="BX53" s="28"/>
      <c r="BY53" s="28"/>
      <c r="CA53"/>
      <c r="CB53"/>
      <c r="CC53"/>
      <c r="CD53"/>
      <c r="CE53"/>
      <c r="CF53"/>
      <c r="CG53"/>
    </row>
    <row r="54" spans="17:85" ht="15" hidden="1" customHeight="1" x14ac:dyDescent="0.35">
      <c r="Q54" s="28"/>
      <c r="R54" s="28"/>
      <c r="V54"/>
      <c r="W54"/>
      <c r="X54"/>
      <c r="Y54"/>
      <c r="AF54" s="67"/>
      <c r="AG54" s="67"/>
      <c r="AH54" s="67"/>
      <c r="AM54" s="28"/>
      <c r="AN54" s="28"/>
      <c r="AO54" s="28"/>
      <c r="AP54" s="28"/>
      <c r="AQ54" s="28"/>
      <c r="AR54" s="28"/>
      <c r="AS54" s="28"/>
      <c r="BQ54" s="119"/>
      <c r="BR54" s="70"/>
      <c r="BS54" s="1"/>
      <c r="BX54" s="28"/>
      <c r="BY54" s="28"/>
      <c r="CA54"/>
      <c r="CB54"/>
      <c r="CC54"/>
      <c r="CD54"/>
      <c r="CE54"/>
      <c r="CF54"/>
      <c r="CG54"/>
    </row>
    <row r="55" spans="17:85" x14ac:dyDescent="0.35">
      <c r="Q55" s="28"/>
      <c r="R55" s="28"/>
      <c r="V55"/>
      <c r="W55"/>
      <c r="X55"/>
      <c r="Y55"/>
      <c r="AF55" s="67"/>
      <c r="AG55" s="67"/>
      <c r="AH55" s="67"/>
      <c r="AM55" s="28"/>
      <c r="AN55" s="28"/>
      <c r="AO55" s="28"/>
      <c r="AP55" s="28"/>
      <c r="AQ55" s="28"/>
      <c r="AR55" s="28"/>
      <c r="AS55" s="28"/>
      <c r="BQ55" s="119"/>
      <c r="BR55" s="70"/>
      <c r="BS55" s="1"/>
      <c r="BX55" s="28"/>
      <c r="BY55" s="28"/>
      <c r="CA55"/>
      <c r="CB55"/>
      <c r="CC55"/>
      <c r="CD55"/>
      <c r="CE55"/>
      <c r="CF55"/>
      <c r="CG55"/>
    </row>
    <row r="56" spans="17:85" ht="23.5" x14ac:dyDescent="0.35">
      <c r="Q56" s="28"/>
      <c r="R56" s="28"/>
      <c r="V56"/>
      <c r="W56"/>
      <c r="X56"/>
      <c r="Y56"/>
      <c r="AF56" s="67"/>
      <c r="AG56" s="67"/>
      <c r="AH56" s="67"/>
      <c r="AM56" s="28"/>
      <c r="AN56" s="28"/>
      <c r="AO56" s="28"/>
      <c r="AP56" s="28"/>
      <c r="AQ56" s="28"/>
      <c r="AR56" s="28"/>
      <c r="AS56" s="28"/>
      <c r="BQ56" s="248" t="s">
        <v>62</v>
      </c>
      <c r="BR56" s="249"/>
      <c r="BS56" s="250"/>
      <c r="BX56" s="28"/>
      <c r="BY56" s="28"/>
      <c r="CA56"/>
      <c r="CB56"/>
      <c r="CC56"/>
      <c r="CD56"/>
      <c r="CE56"/>
      <c r="CF56"/>
      <c r="CG56"/>
    </row>
    <row r="57" spans="17:85" x14ac:dyDescent="0.35">
      <c r="BQ57" s="88" t="s">
        <v>62</v>
      </c>
      <c r="BR57" s="28" t="s">
        <v>38</v>
      </c>
      <c r="BS57" s="1" t="s">
        <v>39</v>
      </c>
    </row>
    <row r="58" spans="17:85" x14ac:dyDescent="0.35">
      <c r="BQ58" s="151">
        <f>BK24*11</f>
        <v>415.44580000000002</v>
      </c>
      <c r="BR58" s="149"/>
      <c r="BS58" s="152"/>
    </row>
    <row r="59" spans="17:85" x14ac:dyDescent="0.35">
      <c r="BQ59" s="151">
        <f>BK25*5</f>
        <v>206.75299999999999</v>
      </c>
      <c r="BR59" s="149">
        <f>BJ24*16</f>
        <v>510.44739304000001</v>
      </c>
      <c r="BS59" s="152">
        <f>BH24*16</f>
        <v>392.6518408</v>
      </c>
    </row>
    <row r="60" spans="17:85" x14ac:dyDescent="0.35">
      <c r="BQ60" s="151">
        <f>SUM(BQ58:BQ59)/16</f>
        <v>38.887425</v>
      </c>
      <c r="BR60" s="149">
        <f>BR59/16</f>
        <v>31.902962065000001</v>
      </c>
      <c r="BS60" s="152">
        <f>BS59/16</f>
        <v>24.54074005</v>
      </c>
    </row>
    <row r="61" spans="17:85" x14ac:dyDescent="0.35">
      <c r="BQ61" s="88"/>
      <c r="BR61" s="149">
        <f>BQ60-BR60</f>
        <v>6.9844629349999998</v>
      </c>
      <c r="BS61" s="152">
        <f>BQ60-BS60</f>
        <v>14.34668495</v>
      </c>
    </row>
    <row r="62" spans="17:85" ht="15" customHeight="1" x14ac:dyDescent="0.35">
      <c r="BQ62" s="88"/>
      <c r="BS62" s="1"/>
    </row>
    <row r="63" spans="17:85" ht="15" customHeight="1" x14ac:dyDescent="0.35">
      <c r="BQ63" s="101"/>
      <c r="BR63" s="155">
        <f>BR61/BQ60</f>
        <v>0.17960723640097023</v>
      </c>
      <c r="BS63" s="156">
        <f>BS61/BQ60</f>
        <v>0.36892864338536174</v>
      </c>
    </row>
    <row r="64" spans="17:85" x14ac:dyDescent="0.35">
      <c r="BQ64" s="188"/>
      <c r="BR64" s="189"/>
      <c r="BS64" s="244"/>
    </row>
    <row r="65" spans="69:71" ht="15" customHeight="1" x14ac:dyDescent="0.35">
      <c r="BQ65" s="245"/>
      <c r="BR65" s="246"/>
      <c r="BS65" s="247"/>
    </row>
  </sheetData>
  <mergeCells count="37">
    <mergeCell ref="X21:X22"/>
    <mergeCell ref="Y21:Y22"/>
    <mergeCell ref="BU21:BU22"/>
    <mergeCell ref="BV21:BV22"/>
    <mergeCell ref="BU24:BU25"/>
    <mergeCell ref="BV24:BV25"/>
    <mergeCell ref="X18:X19"/>
    <mergeCell ref="Y18:Y19"/>
    <mergeCell ref="BU18:BU19"/>
    <mergeCell ref="BV18:BV19"/>
    <mergeCell ref="X9:X10"/>
    <mergeCell ref="Y9:Y10"/>
    <mergeCell ref="BU9:BU10"/>
    <mergeCell ref="BV9:BV10"/>
    <mergeCell ref="X12:X13"/>
    <mergeCell ref="Y12:Y13"/>
    <mergeCell ref="BU12:BU13"/>
    <mergeCell ref="BV12:BV13"/>
    <mergeCell ref="X15:X16"/>
    <mergeCell ref="Y15:Y16"/>
    <mergeCell ref="BU15:BU16"/>
    <mergeCell ref="BV15:BV16"/>
    <mergeCell ref="AT3:CD4"/>
    <mergeCell ref="B5:AI6"/>
    <mergeCell ref="AT5:CD6"/>
    <mergeCell ref="CA7:CB8"/>
    <mergeCell ref="B8:T8"/>
    <mergeCell ref="AT8:BL8"/>
    <mergeCell ref="BQ8:BS8"/>
    <mergeCell ref="BQ7:BS7"/>
    <mergeCell ref="CN14:CV15"/>
    <mergeCell ref="BQ64:BS65"/>
    <mergeCell ref="BQ56:BS56"/>
    <mergeCell ref="BQ45:BS45"/>
    <mergeCell ref="BQ35:BS35"/>
    <mergeCell ref="BQ25:BS25"/>
    <mergeCell ref="BQ16:BS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DDDC-CE90-4628-80B3-5FACAABAE9E2}">
  <sheetPr>
    <pageSetUpPr fitToPage="1"/>
  </sheetPr>
  <dimension ref="B2:O29"/>
  <sheetViews>
    <sheetView tabSelected="1" topLeftCell="A4" workbookViewId="0">
      <selection activeCell="O8" sqref="O8"/>
    </sheetView>
  </sheetViews>
  <sheetFormatPr defaultRowHeight="14.5" x14ac:dyDescent="0.35"/>
  <cols>
    <col min="4" max="4" width="8" customWidth="1"/>
    <col min="5" max="5" width="4.7265625" customWidth="1"/>
    <col min="7" max="7" width="13.453125" customWidth="1"/>
    <col min="9" max="9" width="48.453125" customWidth="1"/>
  </cols>
  <sheetData>
    <row r="2" spans="2:15" ht="7.5" customHeight="1" x14ac:dyDescent="0.35"/>
    <row r="3" spans="2:15" ht="93" customHeight="1" x14ac:dyDescent="0.35">
      <c r="B3" s="214" t="s">
        <v>81</v>
      </c>
      <c r="C3" s="215"/>
      <c r="D3" s="215"/>
      <c r="E3" s="215"/>
      <c r="F3" s="216" t="e" vm="1">
        <v>#VALUE!</v>
      </c>
      <c r="G3" s="216"/>
      <c r="H3" s="216"/>
      <c r="I3" s="217"/>
    </row>
    <row r="4" spans="2:15" x14ac:dyDescent="0.35">
      <c r="B4" s="218" t="s">
        <v>63</v>
      </c>
      <c r="C4" s="219"/>
      <c r="D4" s="219"/>
      <c r="E4" s="220"/>
      <c r="F4" s="224" t="s">
        <v>64</v>
      </c>
      <c r="G4" s="226" t="s">
        <v>82</v>
      </c>
      <c r="H4" s="218" t="s">
        <v>65</v>
      </c>
      <c r="I4" s="220"/>
    </row>
    <row r="5" spans="2:15" x14ac:dyDescent="0.35">
      <c r="B5" s="221"/>
      <c r="C5" s="222"/>
      <c r="D5" s="222"/>
      <c r="E5" s="223"/>
      <c r="F5" s="225"/>
      <c r="G5" s="227"/>
      <c r="H5" s="221"/>
      <c r="I5" s="223"/>
    </row>
    <row r="6" spans="2:15" x14ac:dyDescent="0.35">
      <c r="B6" s="61"/>
      <c r="C6" s="62"/>
      <c r="D6" s="62"/>
      <c r="E6" s="63"/>
      <c r="F6" s="64"/>
      <c r="G6" s="62"/>
      <c r="H6" s="61"/>
      <c r="I6" s="65"/>
      <c r="M6">
        <v>0.5</v>
      </c>
      <c r="N6">
        <f>SUM(M6+L7)</f>
        <v>27.99</v>
      </c>
    </row>
    <row r="7" spans="2:15" ht="26.25" customHeight="1" x14ac:dyDescent="0.35">
      <c r="B7" s="228" t="s">
        <v>83</v>
      </c>
      <c r="C7" s="229"/>
      <c r="D7" s="229"/>
      <c r="E7" s="230"/>
      <c r="F7" s="160">
        <v>27.99</v>
      </c>
      <c r="G7" s="162">
        <f>SUM(F7*1.5)</f>
        <v>41.984999999999999</v>
      </c>
      <c r="H7" s="228" t="s">
        <v>92</v>
      </c>
      <c r="I7" s="231"/>
      <c r="L7">
        <v>27.49</v>
      </c>
      <c r="M7">
        <f>SUM(L7+M6)</f>
        <v>27.99</v>
      </c>
      <c r="N7">
        <f>SUM(L8-L7)</f>
        <v>2.0600000000000023</v>
      </c>
      <c r="O7">
        <f>SUM(L7*7.5%)</f>
        <v>2.06175</v>
      </c>
    </row>
    <row r="8" spans="2:15" ht="31.5" customHeight="1" x14ac:dyDescent="0.35">
      <c r="B8" s="232" t="s">
        <v>84</v>
      </c>
      <c r="C8" s="234"/>
      <c r="D8" s="234"/>
      <c r="E8" s="235"/>
      <c r="F8" s="161">
        <v>30.05</v>
      </c>
      <c r="G8" s="163">
        <f>SUM(F8*1.5)</f>
        <v>45.075000000000003</v>
      </c>
      <c r="H8" s="232"/>
      <c r="I8" s="233"/>
      <c r="L8">
        <v>29.55</v>
      </c>
      <c r="M8">
        <f>SUM(L8+0.5)</f>
        <v>30.05</v>
      </c>
    </row>
    <row r="9" spans="2:15" x14ac:dyDescent="0.35">
      <c r="B9" s="236"/>
      <c r="C9" s="237"/>
      <c r="D9" s="237"/>
      <c r="E9" s="237"/>
      <c r="F9" s="212"/>
      <c r="G9" s="212"/>
      <c r="H9" s="212"/>
      <c r="I9" s="213"/>
    </row>
    <row r="10" spans="2:15" ht="30" customHeight="1" x14ac:dyDescent="0.35">
      <c r="B10" s="195" t="s">
        <v>68</v>
      </c>
      <c r="C10" s="196"/>
      <c r="D10" s="196"/>
      <c r="E10" s="197"/>
      <c r="F10" s="166">
        <v>31.87</v>
      </c>
      <c r="G10" s="166">
        <f t="shared" ref="G10:G11" si="0">SUM(F10*1.5)</f>
        <v>47.805</v>
      </c>
      <c r="H10" s="198" t="s">
        <v>93</v>
      </c>
      <c r="I10" s="199"/>
      <c r="L10">
        <v>31.37</v>
      </c>
      <c r="M10">
        <f>SUM(L10+0.5)</f>
        <v>31.87</v>
      </c>
    </row>
    <row r="11" spans="2:15" ht="33.75" customHeight="1" x14ac:dyDescent="0.35">
      <c r="B11" s="202" t="s">
        <v>70</v>
      </c>
      <c r="C11" s="203"/>
      <c r="D11" s="203"/>
      <c r="E11" s="204"/>
      <c r="F11" s="165">
        <v>32.79</v>
      </c>
      <c r="G11" s="165">
        <f t="shared" si="0"/>
        <v>49.185000000000002</v>
      </c>
      <c r="H11" s="205"/>
      <c r="I11" s="201"/>
      <c r="L11">
        <v>33.72</v>
      </c>
      <c r="M11">
        <f>SUM(L11+0.5)</f>
        <v>34.22</v>
      </c>
    </row>
    <row r="12" spans="2:15" x14ac:dyDescent="0.35">
      <c r="B12" s="208"/>
      <c r="C12" s="209"/>
      <c r="D12" s="209"/>
      <c r="E12" s="209"/>
      <c r="F12" s="209"/>
      <c r="G12" s="209"/>
      <c r="H12" s="209"/>
      <c r="I12" s="210"/>
    </row>
    <row r="13" spans="2:15" ht="39.75" customHeight="1" x14ac:dyDescent="0.35">
      <c r="B13" s="195" t="s">
        <v>85</v>
      </c>
      <c r="C13" s="196"/>
      <c r="D13" s="196"/>
      <c r="E13" s="197"/>
      <c r="F13" s="166">
        <v>30.97</v>
      </c>
      <c r="G13" s="166">
        <f t="shared" ref="G13:G14" si="1">SUM(F13*1.5)</f>
        <v>46.454999999999998</v>
      </c>
      <c r="H13" s="198" t="s">
        <v>94</v>
      </c>
      <c r="I13" s="199"/>
      <c r="L13">
        <v>32.5</v>
      </c>
      <c r="M13">
        <f>SUM(L13+0.5)</f>
        <v>33</v>
      </c>
    </row>
    <row r="14" spans="2:15" ht="35.25" customHeight="1" x14ac:dyDescent="0.35">
      <c r="B14" s="202" t="s">
        <v>86</v>
      </c>
      <c r="C14" s="203"/>
      <c r="D14" s="203"/>
      <c r="E14" s="204"/>
      <c r="F14" s="165">
        <v>33.89</v>
      </c>
      <c r="G14" s="164">
        <f t="shared" si="1"/>
        <v>50.835000000000001</v>
      </c>
      <c r="H14" s="200"/>
      <c r="I14" s="201"/>
      <c r="L14">
        <v>34.94</v>
      </c>
      <c r="M14">
        <f>SUM(L14+0.5)</f>
        <v>35.44</v>
      </c>
    </row>
    <row r="15" spans="2:15" x14ac:dyDescent="0.35">
      <c r="B15" s="211"/>
      <c r="C15" s="212"/>
      <c r="D15" s="212"/>
      <c r="E15" s="212"/>
      <c r="F15" s="212"/>
      <c r="G15" s="212"/>
      <c r="H15" s="212"/>
      <c r="I15" s="213"/>
    </row>
    <row r="16" spans="2:15" ht="33.75" customHeight="1" x14ac:dyDescent="0.35">
      <c r="B16" s="195" t="s">
        <v>87</v>
      </c>
      <c r="C16" s="196"/>
      <c r="D16" s="196"/>
      <c r="E16" s="197"/>
      <c r="F16" s="166">
        <v>37.770000000000003</v>
      </c>
      <c r="G16" s="166">
        <f t="shared" ref="G16:G17" si="2">SUM(F16*1.5)</f>
        <v>56.655000000000001</v>
      </c>
      <c r="H16" s="198" t="s">
        <v>95</v>
      </c>
      <c r="I16" s="199"/>
      <c r="L16">
        <v>35.61</v>
      </c>
      <c r="M16">
        <f>SUM(L16+0.5)</f>
        <v>36.11</v>
      </c>
    </row>
    <row r="17" spans="2:13" ht="45.75" customHeight="1" x14ac:dyDescent="0.35">
      <c r="B17" s="202" t="s">
        <v>88</v>
      </c>
      <c r="C17" s="203"/>
      <c r="D17" s="203"/>
      <c r="E17" s="204"/>
      <c r="F17" s="165">
        <v>41.16</v>
      </c>
      <c r="G17" s="165">
        <f t="shared" si="2"/>
        <v>61.739999999999995</v>
      </c>
      <c r="H17" s="205"/>
      <c r="I17" s="201"/>
      <c r="L17">
        <v>38.28</v>
      </c>
      <c r="M17">
        <f>SUM(L17+0.5)</f>
        <v>38.78</v>
      </c>
    </row>
    <row r="18" spans="2:13" x14ac:dyDescent="0.35">
      <c r="B18" s="206"/>
      <c r="C18" s="186"/>
      <c r="D18" s="186"/>
      <c r="E18" s="186"/>
      <c r="F18" s="186"/>
      <c r="G18" s="186"/>
      <c r="H18" s="186"/>
      <c r="I18" s="207"/>
    </row>
    <row r="19" spans="2:13" x14ac:dyDescent="0.35">
      <c r="B19" s="168" t="s">
        <v>75</v>
      </c>
      <c r="C19" s="169"/>
      <c r="D19" s="169"/>
      <c r="E19" s="170"/>
      <c r="F19" s="171">
        <v>120</v>
      </c>
      <c r="G19" s="172"/>
      <c r="H19" s="173"/>
      <c r="I19" s="174"/>
    </row>
    <row r="20" spans="2:13" x14ac:dyDescent="0.35">
      <c r="B20" s="185"/>
      <c r="C20" s="186"/>
      <c r="D20" s="186"/>
      <c r="E20" s="186"/>
      <c r="F20" s="186"/>
      <c r="G20" s="186"/>
      <c r="H20" s="186"/>
      <c r="I20" s="187"/>
    </row>
    <row r="21" spans="2:13" x14ac:dyDescent="0.35">
      <c r="B21" s="188" t="s">
        <v>76</v>
      </c>
      <c r="C21" s="189"/>
      <c r="D21" s="189"/>
      <c r="E21" s="190"/>
      <c r="F21" s="191">
        <v>110</v>
      </c>
      <c r="G21" s="192"/>
      <c r="H21" s="193"/>
      <c r="I21" s="194"/>
    </row>
    <row r="22" spans="2:13" x14ac:dyDescent="0.35">
      <c r="B22" s="175"/>
      <c r="C22" s="176"/>
      <c r="D22" s="176"/>
      <c r="E22" s="176"/>
      <c r="F22" s="176"/>
      <c r="G22" s="176"/>
      <c r="H22" s="176"/>
      <c r="I22" s="177"/>
    </row>
    <row r="23" spans="2:13" x14ac:dyDescent="0.35">
      <c r="B23" s="178" t="s">
        <v>77</v>
      </c>
      <c r="C23" s="179"/>
      <c r="D23" s="179"/>
      <c r="E23" s="180"/>
      <c r="F23" s="181">
        <v>70</v>
      </c>
      <c r="G23" s="182"/>
      <c r="H23" s="183"/>
      <c r="I23" s="184"/>
    </row>
    <row r="24" spans="2:13" x14ac:dyDescent="0.35">
      <c r="B24" s="185"/>
      <c r="C24" s="186"/>
      <c r="D24" s="186"/>
      <c r="E24" s="186"/>
      <c r="F24" s="186"/>
      <c r="G24" s="186"/>
      <c r="H24" s="186"/>
      <c r="I24" s="187"/>
    </row>
    <row r="25" spans="2:13" x14ac:dyDescent="0.35">
      <c r="B25" s="168" t="s">
        <v>78</v>
      </c>
      <c r="C25" s="169"/>
      <c r="D25" s="169"/>
      <c r="E25" s="170"/>
      <c r="F25" s="171">
        <v>20.5</v>
      </c>
      <c r="G25" s="172"/>
      <c r="H25" s="173"/>
      <c r="I25" s="174"/>
    </row>
    <row r="26" spans="2:13" x14ac:dyDescent="0.35">
      <c r="B26" s="185"/>
      <c r="C26" s="186"/>
      <c r="D26" s="186"/>
      <c r="E26" s="186"/>
      <c r="F26" s="186"/>
      <c r="G26" s="186"/>
      <c r="H26" s="186"/>
      <c r="I26" s="187"/>
    </row>
    <row r="27" spans="2:13" x14ac:dyDescent="0.35">
      <c r="B27" s="168" t="s">
        <v>79</v>
      </c>
      <c r="C27" s="169"/>
      <c r="D27" s="169"/>
      <c r="E27" s="170"/>
      <c r="F27" s="171">
        <v>5</v>
      </c>
      <c r="G27" s="172"/>
      <c r="H27" s="173"/>
      <c r="I27" s="174"/>
    </row>
    <row r="28" spans="2:13" x14ac:dyDescent="0.35">
      <c r="B28" s="185"/>
      <c r="C28" s="186"/>
      <c r="D28" s="186"/>
      <c r="E28" s="186"/>
      <c r="F28" s="186"/>
      <c r="G28" s="186"/>
      <c r="H28" s="186"/>
      <c r="I28" s="187"/>
    </row>
    <row r="29" spans="2:13" x14ac:dyDescent="0.35">
      <c r="B29" s="168" t="s">
        <v>80</v>
      </c>
      <c r="C29" s="169"/>
      <c r="D29" s="169"/>
      <c r="E29" s="170"/>
      <c r="F29" s="171">
        <v>10.5</v>
      </c>
      <c r="G29" s="172"/>
      <c r="H29" s="173"/>
      <c r="I29" s="174"/>
    </row>
  </sheetData>
  <mergeCells count="45">
    <mergeCell ref="B12:I12"/>
    <mergeCell ref="B15:I15"/>
    <mergeCell ref="B3:E3"/>
    <mergeCell ref="F3:I3"/>
    <mergeCell ref="B4:E5"/>
    <mergeCell ref="F4:F5"/>
    <mergeCell ref="G4:G5"/>
    <mergeCell ref="H4:I5"/>
    <mergeCell ref="B7:E7"/>
    <mergeCell ref="H7:I8"/>
    <mergeCell ref="B8:E8"/>
    <mergeCell ref="B10:E10"/>
    <mergeCell ref="H10:I11"/>
    <mergeCell ref="B11:E11"/>
    <mergeCell ref="B9:I9"/>
    <mergeCell ref="B21:E21"/>
    <mergeCell ref="F21:G21"/>
    <mergeCell ref="H21:I21"/>
    <mergeCell ref="B13:E13"/>
    <mergeCell ref="H13:I14"/>
    <mergeCell ref="B14:E14"/>
    <mergeCell ref="B16:E16"/>
    <mergeCell ref="H16:I17"/>
    <mergeCell ref="B17:E17"/>
    <mergeCell ref="B18:I18"/>
    <mergeCell ref="B19:E19"/>
    <mergeCell ref="F19:G19"/>
    <mergeCell ref="H19:I19"/>
    <mergeCell ref="B20:I20"/>
    <mergeCell ref="B29:E29"/>
    <mergeCell ref="F29:G29"/>
    <mergeCell ref="H29:I29"/>
    <mergeCell ref="B22:I22"/>
    <mergeCell ref="B23:E23"/>
    <mergeCell ref="F23:G23"/>
    <mergeCell ref="H23:I23"/>
    <mergeCell ref="B24:I24"/>
    <mergeCell ref="B25:E25"/>
    <mergeCell ref="F25:G25"/>
    <mergeCell ref="H25:I25"/>
    <mergeCell ref="B26:I26"/>
    <mergeCell ref="B27:E27"/>
    <mergeCell ref="F27:G27"/>
    <mergeCell ref="H27:I27"/>
    <mergeCell ref="B28:I28"/>
  </mergeCell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4B28-6FDF-4357-ACE1-F23D54F59B59}">
  <dimension ref="C4:R26"/>
  <sheetViews>
    <sheetView workbookViewId="0">
      <selection activeCell="J14" sqref="J14"/>
    </sheetView>
  </sheetViews>
  <sheetFormatPr defaultRowHeight="14.5" x14ac:dyDescent="0.35"/>
  <cols>
    <col min="9" max="9" width="23.1796875" customWidth="1"/>
    <col min="18" max="18" width="25.90625" customWidth="1"/>
  </cols>
  <sheetData>
    <row r="4" spans="3:18" ht="21" x14ac:dyDescent="0.35">
      <c r="C4" s="310" t="s">
        <v>89</v>
      </c>
      <c r="D4" s="311"/>
      <c r="E4" s="311"/>
      <c r="F4" s="311"/>
      <c r="G4" s="312" t="s">
        <v>90</v>
      </c>
      <c r="H4" s="312"/>
      <c r="I4" s="313"/>
      <c r="L4" s="310" t="s">
        <v>89</v>
      </c>
      <c r="M4" s="311"/>
      <c r="N4" s="311"/>
      <c r="O4" s="311"/>
      <c r="P4" s="312" t="s">
        <v>91</v>
      </c>
      <c r="Q4" s="312"/>
      <c r="R4" s="313"/>
    </row>
    <row r="5" spans="3:18" x14ac:dyDescent="0.35">
      <c r="C5" s="314" t="s">
        <v>63</v>
      </c>
      <c r="D5" s="315"/>
      <c r="E5" s="315"/>
      <c r="F5" s="316"/>
      <c r="G5" s="320" t="s">
        <v>64</v>
      </c>
      <c r="H5" s="314" t="s">
        <v>65</v>
      </c>
      <c r="I5" s="322"/>
      <c r="L5" s="314" t="s">
        <v>63</v>
      </c>
      <c r="M5" s="315"/>
      <c r="N5" s="315"/>
      <c r="O5" s="316"/>
      <c r="P5" s="320" t="s">
        <v>64</v>
      </c>
      <c r="Q5" s="314" t="s">
        <v>65</v>
      </c>
      <c r="R5" s="322"/>
    </row>
    <row r="6" spans="3:18" x14ac:dyDescent="0.35">
      <c r="C6" s="317"/>
      <c r="D6" s="318"/>
      <c r="E6" s="318"/>
      <c r="F6" s="319"/>
      <c r="G6" s="321"/>
      <c r="H6" s="317"/>
      <c r="I6" s="323"/>
      <c r="L6" s="317"/>
      <c r="M6" s="318"/>
      <c r="N6" s="318"/>
      <c r="O6" s="319"/>
      <c r="P6" s="321"/>
      <c r="Q6" s="317"/>
      <c r="R6" s="323"/>
    </row>
    <row r="7" spans="3:18" x14ac:dyDescent="0.35">
      <c r="C7" s="36"/>
      <c r="D7" s="37"/>
      <c r="E7" s="37"/>
      <c r="F7" s="38"/>
      <c r="G7" s="39"/>
      <c r="H7" s="324"/>
      <c r="I7" s="325"/>
      <c r="L7" s="36"/>
      <c r="M7" s="37"/>
      <c r="N7" s="37"/>
      <c r="O7" s="38"/>
      <c r="P7" s="39"/>
      <c r="Q7" s="324"/>
      <c r="R7" s="325"/>
    </row>
    <row r="8" spans="3:18" x14ac:dyDescent="0.35">
      <c r="C8" s="298" t="s">
        <v>66</v>
      </c>
      <c r="D8" s="299"/>
      <c r="E8" s="299"/>
      <c r="F8" s="300"/>
      <c r="G8" s="34">
        <f>SUM(P8+0.5)</f>
        <v>27.99</v>
      </c>
      <c r="H8" s="301" t="s">
        <v>67</v>
      </c>
      <c r="I8" s="302"/>
      <c r="L8" s="298" t="s">
        <v>66</v>
      </c>
      <c r="M8" s="299"/>
      <c r="N8" s="299"/>
      <c r="O8" s="300"/>
      <c r="P8" s="34">
        <v>27.49</v>
      </c>
      <c r="Q8" s="301" t="s">
        <v>67</v>
      </c>
      <c r="R8" s="302"/>
    </row>
    <row r="9" spans="3:18" x14ac:dyDescent="0.35">
      <c r="C9" s="40"/>
      <c r="D9" s="41"/>
      <c r="E9" s="41"/>
      <c r="F9" s="42"/>
      <c r="G9" s="43"/>
      <c r="H9" s="44"/>
      <c r="I9" s="45"/>
      <c r="L9" s="40"/>
      <c r="M9" s="41"/>
      <c r="N9" s="41"/>
      <c r="O9" s="42"/>
      <c r="P9" s="43"/>
      <c r="Q9" s="44"/>
      <c r="R9" s="45"/>
    </row>
    <row r="10" spans="3:18" x14ac:dyDescent="0.35">
      <c r="C10" s="303" t="s">
        <v>68</v>
      </c>
      <c r="D10" s="304"/>
      <c r="E10" s="304"/>
      <c r="F10" s="305"/>
      <c r="G10" s="34">
        <f>SUM(P10+0.5)</f>
        <v>31.87</v>
      </c>
      <c r="H10" s="306" t="s">
        <v>69</v>
      </c>
      <c r="I10" s="307"/>
      <c r="L10" s="303" t="s">
        <v>68</v>
      </c>
      <c r="M10" s="304"/>
      <c r="N10" s="304"/>
      <c r="O10" s="305"/>
      <c r="P10" s="34">
        <v>31.37</v>
      </c>
      <c r="Q10" s="306" t="s">
        <v>69</v>
      </c>
      <c r="R10" s="307"/>
    </row>
    <row r="11" spans="3:18" x14ac:dyDescent="0.35">
      <c r="C11" s="40"/>
      <c r="D11" s="41"/>
      <c r="E11" s="41"/>
      <c r="F11" s="42"/>
      <c r="G11" s="43"/>
      <c r="H11" s="46"/>
      <c r="I11" s="47"/>
      <c r="L11" s="40"/>
      <c r="M11" s="41"/>
      <c r="N11" s="41"/>
      <c r="O11" s="42"/>
      <c r="P11" s="43"/>
      <c r="Q11" s="46"/>
      <c r="R11" s="47"/>
    </row>
    <row r="12" spans="3:18" x14ac:dyDescent="0.35">
      <c r="C12" s="303" t="s">
        <v>71</v>
      </c>
      <c r="D12" s="304"/>
      <c r="E12" s="304"/>
      <c r="F12" s="305"/>
      <c r="G12" s="34">
        <f>SUM(P12+0.5)</f>
        <v>33</v>
      </c>
      <c r="H12" s="306" t="s">
        <v>72</v>
      </c>
      <c r="I12" s="307"/>
      <c r="L12" s="303" t="s">
        <v>71</v>
      </c>
      <c r="M12" s="304"/>
      <c r="N12" s="304"/>
      <c r="O12" s="305"/>
      <c r="P12" s="34">
        <v>32.5</v>
      </c>
      <c r="Q12" s="306" t="s">
        <v>72</v>
      </c>
      <c r="R12" s="307"/>
    </row>
    <row r="13" spans="3:18" x14ac:dyDescent="0.35">
      <c r="C13" s="40"/>
      <c r="D13" s="41"/>
      <c r="E13" s="41"/>
      <c r="F13" s="42"/>
      <c r="G13" s="43"/>
      <c r="H13" s="308"/>
      <c r="I13" s="309"/>
      <c r="L13" s="40"/>
      <c r="M13" s="41"/>
      <c r="N13" s="41"/>
      <c r="O13" s="42"/>
      <c r="P13" s="43"/>
      <c r="Q13" s="308"/>
      <c r="R13" s="309"/>
    </row>
    <row r="14" spans="3:18" ht="38.25" customHeight="1" x14ac:dyDescent="0.35">
      <c r="C14" s="298" t="s">
        <v>73</v>
      </c>
      <c r="D14" s="299"/>
      <c r="E14" s="299"/>
      <c r="F14" s="300"/>
      <c r="G14" s="34">
        <f>SUM(P14+0.5)</f>
        <v>36.11</v>
      </c>
      <c r="H14" s="306" t="s">
        <v>74</v>
      </c>
      <c r="I14" s="307"/>
      <c r="L14" s="298" t="s">
        <v>73</v>
      </c>
      <c r="M14" s="299"/>
      <c r="N14" s="299"/>
      <c r="O14" s="300"/>
      <c r="P14" s="34">
        <v>35.61</v>
      </c>
      <c r="Q14" s="306" t="s">
        <v>74</v>
      </c>
      <c r="R14" s="307"/>
    </row>
    <row r="15" spans="3:18" x14ac:dyDescent="0.35">
      <c r="C15" s="48"/>
      <c r="D15" s="49"/>
      <c r="E15" s="49"/>
      <c r="F15" s="50"/>
      <c r="G15" s="51"/>
      <c r="H15" s="52"/>
      <c r="I15" s="53"/>
      <c r="L15" s="48"/>
      <c r="M15" s="49"/>
      <c r="N15" s="49"/>
      <c r="O15" s="50"/>
      <c r="P15" s="51"/>
      <c r="Q15" s="52"/>
      <c r="R15" s="53"/>
    </row>
    <row r="16" spans="3:18" x14ac:dyDescent="0.35">
      <c r="C16" s="293" t="s">
        <v>75</v>
      </c>
      <c r="D16" s="294"/>
      <c r="E16" s="294"/>
      <c r="F16" s="295"/>
      <c r="G16" s="54">
        <v>120</v>
      </c>
      <c r="H16" s="296"/>
      <c r="I16" s="297"/>
      <c r="L16" s="293" t="s">
        <v>75</v>
      </c>
      <c r="M16" s="294"/>
      <c r="N16" s="294"/>
      <c r="O16" s="295"/>
      <c r="P16" s="54">
        <v>120</v>
      </c>
      <c r="Q16" s="296"/>
      <c r="R16" s="297"/>
    </row>
    <row r="17" spans="3:18" x14ac:dyDescent="0.35">
      <c r="C17" s="55"/>
      <c r="D17" s="56"/>
      <c r="E17" s="56"/>
      <c r="F17" s="57"/>
      <c r="G17" s="58"/>
      <c r="H17" s="58"/>
      <c r="I17" s="59"/>
      <c r="L17" s="55"/>
      <c r="M17" s="56"/>
      <c r="N17" s="56"/>
      <c r="O17" s="57"/>
      <c r="P17" s="58"/>
      <c r="Q17" s="58"/>
      <c r="R17" s="59"/>
    </row>
    <row r="18" spans="3:18" x14ac:dyDescent="0.35">
      <c r="C18" s="293" t="s">
        <v>76</v>
      </c>
      <c r="D18" s="294"/>
      <c r="E18" s="294"/>
      <c r="F18" s="295"/>
      <c r="G18" s="54">
        <v>110</v>
      </c>
      <c r="H18" s="296"/>
      <c r="I18" s="297"/>
      <c r="L18" s="293" t="s">
        <v>76</v>
      </c>
      <c r="M18" s="294"/>
      <c r="N18" s="294"/>
      <c r="O18" s="295"/>
      <c r="P18" s="54">
        <v>110</v>
      </c>
      <c r="Q18" s="296"/>
      <c r="R18" s="297"/>
    </row>
    <row r="19" spans="3:18" x14ac:dyDescent="0.35">
      <c r="C19" s="55"/>
      <c r="D19" s="56"/>
      <c r="E19" s="56"/>
      <c r="F19" s="57"/>
      <c r="G19" s="58"/>
      <c r="H19" s="58"/>
      <c r="I19" s="59"/>
      <c r="L19" s="55"/>
      <c r="M19" s="56"/>
      <c r="N19" s="56"/>
      <c r="O19" s="57"/>
      <c r="P19" s="58"/>
      <c r="Q19" s="58"/>
      <c r="R19" s="59"/>
    </row>
    <row r="20" spans="3:18" x14ac:dyDescent="0.35">
      <c r="C20" s="293" t="s">
        <v>77</v>
      </c>
      <c r="D20" s="294"/>
      <c r="E20" s="294"/>
      <c r="F20" s="295"/>
      <c r="G20" s="54">
        <v>70</v>
      </c>
      <c r="H20" s="296"/>
      <c r="I20" s="297"/>
      <c r="L20" s="293" t="s">
        <v>77</v>
      </c>
      <c r="M20" s="294"/>
      <c r="N20" s="294"/>
      <c r="O20" s="295"/>
      <c r="P20" s="54">
        <v>70</v>
      </c>
      <c r="Q20" s="296"/>
      <c r="R20" s="297"/>
    </row>
    <row r="21" spans="3:18" x14ac:dyDescent="0.35">
      <c r="C21" s="55"/>
      <c r="D21" s="56"/>
      <c r="E21" s="56"/>
      <c r="F21" s="57"/>
      <c r="G21" s="58"/>
      <c r="H21" s="58"/>
      <c r="I21" s="59"/>
      <c r="L21" s="55"/>
      <c r="M21" s="56"/>
      <c r="N21" s="56"/>
      <c r="O21" s="57"/>
      <c r="P21" s="58"/>
      <c r="Q21" s="58"/>
      <c r="R21" s="59"/>
    </row>
    <row r="22" spans="3:18" x14ac:dyDescent="0.35">
      <c r="C22" s="293" t="s">
        <v>78</v>
      </c>
      <c r="D22" s="294"/>
      <c r="E22" s="294"/>
      <c r="F22" s="295"/>
      <c r="G22" s="54">
        <v>20.5</v>
      </c>
      <c r="H22" s="296"/>
      <c r="I22" s="297"/>
      <c r="L22" s="293" t="s">
        <v>78</v>
      </c>
      <c r="M22" s="294"/>
      <c r="N22" s="294"/>
      <c r="O22" s="295"/>
      <c r="P22" s="54">
        <v>20.5</v>
      </c>
      <c r="Q22" s="296"/>
      <c r="R22" s="297"/>
    </row>
    <row r="23" spans="3:18" x14ac:dyDescent="0.35">
      <c r="C23" s="55"/>
      <c r="D23" s="56"/>
      <c r="E23" s="56"/>
      <c r="F23" s="57"/>
      <c r="G23" s="58"/>
      <c r="H23" s="58"/>
      <c r="I23" s="59"/>
      <c r="L23" s="55"/>
      <c r="M23" s="56"/>
      <c r="N23" s="56"/>
      <c r="O23" s="57"/>
      <c r="P23" s="58"/>
      <c r="Q23" s="58"/>
      <c r="R23" s="59"/>
    </row>
    <row r="24" spans="3:18" x14ac:dyDescent="0.35">
      <c r="C24" s="293" t="s">
        <v>79</v>
      </c>
      <c r="D24" s="294"/>
      <c r="E24" s="294"/>
      <c r="F24" s="295"/>
      <c r="G24" s="54">
        <v>5</v>
      </c>
      <c r="H24" s="296"/>
      <c r="I24" s="297"/>
      <c r="L24" s="293" t="s">
        <v>79</v>
      </c>
      <c r="M24" s="294"/>
      <c r="N24" s="294"/>
      <c r="O24" s="295"/>
      <c r="P24" s="54">
        <v>5</v>
      </c>
      <c r="Q24" s="296"/>
      <c r="R24" s="297"/>
    </row>
    <row r="25" spans="3:18" x14ac:dyDescent="0.35">
      <c r="C25" s="55"/>
      <c r="D25" s="56"/>
      <c r="E25" s="56"/>
      <c r="F25" s="57"/>
      <c r="G25" s="58"/>
      <c r="H25" s="58"/>
      <c r="I25" s="59"/>
      <c r="L25" s="55"/>
      <c r="M25" s="56"/>
      <c r="N25" s="56"/>
      <c r="O25" s="57"/>
      <c r="P25" s="58"/>
      <c r="Q25" s="58"/>
      <c r="R25" s="59"/>
    </row>
    <row r="26" spans="3:18" x14ac:dyDescent="0.35">
      <c r="C26" s="288" t="s">
        <v>80</v>
      </c>
      <c r="D26" s="289"/>
      <c r="E26" s="289"/>
      <c r="F26" s="290"/>
      <c r="G26" s="60">
        <v>10.5</v>
      </c>
      <c r="H26" s="291"/>
      <c r="I26" s="292"/>
      <c r="L26" s="288" t="s">
        <v>80</v>
      </c>
      <c r="M26" s="289"/>
      <c r="N26" s="289"/>
      <c r="O26" s="290"/>
      <c r="P26" s="60">
        <v>10.5</v>
      </c>
      <c r="Q26" s="291"/>
      <c r="R26" s="292"/>
    </row>
  </sheetData>
  <mergeCells count="54">
    <mergeCell ref="C4:F4"/>
    <mergeCell ref="G4:I4"/>
    <mergeCell ref="C5:F6"/>
    <mergeCell ref="G5:G6"/>
    <mergeCell ref="H5:I6"/>
    <mergeCell ref="C26:F26"/>
    <mergeCell ref="H26:I26"/>
    <mergeCell ref="C16:F16"/>
    <mergeCell ref="H16:I16"/>
    <mergeCell ref="C18:F18"/>
    <mergeCell ref="H18:I18"/>
    <mergeCell ref="C20:F20"/>
    <mergeCell ref="H20:I20"/>
    <mergeCell ref="Q7:R7"/>
    <mergeCell ref="C22:F22"/>
    <mergeCell ref="H22:I22"/>
    <mergeCell ref="C24:F24"/>
    <mergeCell ref="H24:I24"/>
    <mergeCell ref="C12:F12"/>
    <mergeCell ref="H12:I12"/>
    <mergeCell ref="H13:I13"/>
    <mergeCell ref="C14:F14"/>
    <mergeCell ref="H14:I14"/>
    <mergeCell ref="C8:F8"/>
    <mergeCell ref="H8:I8"/>
    <mergeCell ref="C10:F10"/>
    <mergeCell ref="H10:I10"/>
    <mergeCell ref="H7:I7"/>
    <mergeCell ref="L18:O18"/>
    <mergeCell ref="L4:O4"/>
    <mergeCell ref="P4:R4"/>
    <mergeCell ref="L5:O6"/>
    <mergeCell ref="P5:P6"/>
    <mergeCell ref="Q5:R6"/>
    <mergeCell ref="Q18:R18"/>
    <mergeCell ref="L8:O8"/>
    <mergeCell ref="Q8:R8"/>
    <mergeCell ref="L10:O10"/>
    <mergeCell ref="Q10:R10"/>
    <mergeCell ref="L12:O12"/>
    <mergeCell ref="Q12:R12"/>
    <mergeCell ref="Q13:R13"/>
    <mergeCell ref="L14:O14"/>
    <mergeCell ref="Q14:R14"/>
    <mergeCell ref="L16:O16"/>
    <mergeCell ref="Q16:R16"/>
    <mergeCell ref="L26:O26"/>
    <mergeCell ref="Q26:R26"/>
    <mergeCell ref="L20:O20"/>
    <mergeCell ref="Q20:R20"/>
    <mergeCell ref="L22:O22"/>
    <mergeCell ref="Q22:R22"/>
    <mergeCell ref="L24:O24"/>
    <mergeCell ref="Q24:R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6742A3BB8E63458B1AFD0E18FD6FEB" ma:contentTypeVersion="16" ma:contentTypeDescription="Create a new document." ma:contentTypeScope="" ma:versionID="538c62dc919b4e231dcba945e162d094">
  <xsd:schema xmlns:xsd="http://www.w3.org/2001/XMLSchema" xmlns:xs="http://www.w3.org/2001/XMLSchema" xmlns:p="http://schemas.microsoft.com/office/2006/metadata/properties" xmlns:ns3="5d4f908d-cac4-467e-8ab7-99d05f371fe6" xmlns:ns4="e3e7ad4b-148e-4300-8cee-a2541cf93a8c" targetNamespace="http://schemas.microsoft.com/office/2006/metadata/properties" ma:root="true" ma:fieldsID="ebb30106ecd38b0ce140a0e6c21a7bb9" ns3:_="" ns4:_="">
    <xsd:import namespace="5d4f908d-cac4-467e-8ab7-99d05f371fe6"/>
    <xsd:import namespace="e3e7ad4b-148e-4300-8cee-a2541cf93a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f908d-cac4-467e-8ab7-99d05f371f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7ad4b-148e-4300-8cee-a2541cf93a8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4f908d-cac4-467e-8ab7-99d05f371f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BD98EF-6157-4A01-9DC0-72D44D8961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f908d-cac4-467e-8ab7-99d05f371fe6"/>
    <ds:schemaRef ds:uri="e3e7ad4b-148e-4300-8cee-a2541cf93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451256-B33A-4D60-BD82-F1A689A9A5D6}">
  <ds:schemaRefs>
    <ds:schemaRef ds:uri="http://schemas.microsoft.com/office/2006/metadata/properties"/>
    <ds:schemaRef ds:uri="http://schemas.microsoft.com/office/infopath/2007/PartnerControls"/>
    <ds:schemaRef ds:uri="5d4f908d-cac4-467e-8ab7-99d05f371fe6"/>
  </ds:schemaRefs>
</ds:datastoreItem>
</file>

<file path=customXml/itemProps3.xml><?xml version="1.0" encoding="utf-8"?>
<ds:datastoreItem xmlns:ds="http://schemas.openxmlformats.org/officeDocument/2006/customXml" ds:itemID="{437A779F-84CA-4BFF-9A27-9C8810D210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6% </vt:lpstr>
      <vt:lpstr>2025 - Rate Card</vt:lpstr>
      <vt:lpstr>P-Rate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Zakaria</cp:lastModifiedBy>
  <cp:revision/>
  <dcterms:created xsi:type="dcterms:W3CDTF">2023-01-30T20:42:59Z</dcterms:created>
  <dcterms:modified xsi:type="dcterms:W3CDTF">2026-06-08T07:38:22Z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0x010100746742A3BB8E63458B1AFD0E18FD6FEB</vt:lpwstr>
  </property>
</Properties>
</file>